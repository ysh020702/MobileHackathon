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0008\MachineLearningProjects\MobileHackathon\reports\"/>
    </mc:Choice>
  </mc:AlternateContent>
  <xr:revisionPtr revIDLastSave="0" documentId="13_ncr:1_{18C6B9FC-E49F-4A60-8CD4-FB171CF85701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사용법" sheetId="1" r:id="rId1"/>
    <sheet name="측정조건" sheetId="2" r:id="rId2"/>
    <sheet name="실험로그" sheetId="3" r:id="rId3"/>
    <sheet name="보고서요약" sheetId="4" r:id="rId4"/>
    <sheet name="양자화비교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3" i="3" l="1"/>
  <c r="S11" i="3"/>
  <c r="AD8" i="5"/>
  <c r="AC8" i="5"/>
  <c r="W8" i="5"/>
  <c r="P8" i="5"/>
  <c r="M8" i="5"/>
  <c r="G8" i="5"/>
  <c r="F8" i="5"/>
  <c r="AD7" i="5"/>
  <c r="AC7" i="5"/>
  <c r="W7" i="5"/>
  <c r="P7" i="5"/>
  <c r="M7" i="5"/>
  <c r="G7" i="5"/>
  <c r="F7" i="5"/>
  <c r="AD6" i="5"/>
  <c r="AC6" i="5"/>
  <c r="W6" i="5"/>
  <c r="P6" i="5"/>
  <c r="M6" i="5"/>
  <c r="G6" i="5"/>
  <c r="F6" i="5"/>
  <c r="AD5" i="5"/>
  <c r="AC5" i="5"/>
  <c r="W5" i="5"/>
  <c r="P5" i="5"/>
  <c r="M5" i="5"/>
  <c r="G5" i="5"/>
  <c r="F5" i="5"/>
  <c r="C18" i="4"/>
  <c r="D18" i="4" s="1"/>
  <c r="B18" i="4"/>
  <c r="C16" i="4"/>
  <c r="D16" i="4" s="1"/>
  <c r="B16" i="4"/>
  <c r="C15" i="4"/>
  <c r="D15" i="4" s="1"/>
  <c r="B15" i="4"/>
  <c r="C14" i="4"/>
  <c r="D14" i="4" s="1"/>
  <c r="B14" i="4"/>
  <c r="C13" i="4"/>
  <c r="D13" i="4" s="1"/>
  <c r="B13" i="4"/>
  <c r="C12" i="4"/>
  <c r="D12" i="4" s="1"/>
  <c r="B12" i="4"/>
  <c r="D11" i="4"/>
  <c r="C11" i="4"/>
  <c r="B11" i="4"/>
  <c r="C10" i="4"/>
  <c r="D10" i="4" s="1"/>
  <c r="B10" i="4"/>
  <c r="C9" i="4"/>
  <c r="D9" i="4" s="1"/>
  <c r="B9" i="4"/>
  <c r="B8" i="4"/>
  <c r="W64" i="3"/>
  <c r="S64" i="3"/>
  <c r="R64" i="3"/>
  <c r="W63" i="3"/>
  <c r="S63" i="3"/>
  <c r="R63" i="3"/>
  <c r="W62" i="3"/>
  <c r="S62" i="3"/>
  <c r="R62" i="3"/>
  <c r="W61" i="3"/>
  <c r="S61" i="3"/>
  <c r="R61" i="3"/>
  <c r="W60" i="3"/>
  <c r="S60" i="3"/>
  <c r="R60" i="3"/>
  <c r="W59" i="3"/>
  <c r="S59" i="3"/>
  <c r="R59" i="3"/>
  <c r="W58" i="3"/>
  <c r="S58" i="3"/>
  <c r="R58" i="3"/>
  <c r="W57" i="3"/>
  <c r="S57" i="3"/>
  <c r="R57" i="3"/>
  <c r="W56" i="3"/>
  <c r="S56" i="3"/>
  <c r="R56" i="3"/>
  <c r="W55" i="3"/>
  <c r="S55" i="3"/>
  <c r="R55" i="3"/>
  <c r="W54" i="3"/>
  <c r="S54" i="3"/>
  <c r="R54" i="3"/>
  <c r="W53" i="3"/>
  <c r="S53" i="3"/>
  <c r="R53" i="3"/>
  <c r="W52" i="3"/>
  <c r="S52" i="3"/>
  <c r="R52" i="3"/>
  <c r="W51" i="3"/>
  <c r="S51" i="3"/>
  <c r="R51" i="3"/>
  <c r="W50" i="3"/>
  <c r="S50" i="3"/>
  <c r="R50" i="3"/>
  <c r="W49" i="3"/>
  <c r="S49" i="3"/>
  <c r="R49" i="3"/>
  <c r="W48" i="3"/>
  <c r="S48" i="3"/>
  <c r="R48" i="3"/>
  <c r="W47" i="3"/>
  <c r="S47" i="3"/>
  <c r="R47" i="3"/>
  <c r="W46" i="3"/>
  <c r="S46" i="3"/>
  <c r="R46" i="3"/>
  <c r="W45" i="3"/>
  <c r="S45" i="3"/>
  <c r="R45" i="3"/>
  <c r="W44" i="3"/>
  <c r="S44" i="3"/>
  <c r="R44" i="3"/>
  <c r="W43" i="3"/>
  <c r="S43" i="3"/>
  <c r="R43" i="3"/>
  <c r="W42" i="3"/>
  <c r="S42" i="3"/>
  <c r="R42" i="3"/>
  <c r="W41" i="3"/>
  <c r="S41" i="3"/>
  <c r="R41" i="3"/>
  <c r="W40" i="3"/>
  <c r="S40" i="3"/>
  <c r="R40" i="3"/>
  <c r="W39" i="3"/>
  <c r="S39" i="3"/>
  <c r="R39" i="3"/>
  <c r="W38" i="3"/>
  <c r="S38" i="3"/>
  <c r="R38" i="3"/>
  <c r="W37" i="3"/>
  <c r="S37" i="3"/>
  <c r="R37" i="3"/>
  <c r="W36" i="3"/>
  <c r="S36" i="3"/>
  <c r="R36" i="3"/>
  <c r="W35" i="3"/>
  <c r="S35" i="3"/>
  <c r="R35" i="3"/>
  <c r="W34" i="3"/>
  <c r="S34" i="3"/>
  <c r="R34" i="3"/>
  <c r="W33" i="3"/>
  <c r="S33" i="3"/>
  <c r="R33" i="3"/>
  <c r="W32" i="3"/>
  <c r="S32" i="3"/>
  <c r="R32" i="3"/>
  <c r="W31" i="3"/>
  <c r="S31" i="3"/>
  <c r="R31" i="3"/>
  <c r="W30" i="3"/>
  <c r="S30" i="3"/>
  <c r="R30" i="3"/>
  <c r="W29" i="3"/>
  <c r="S29" i="3"/>
  <c r="R29" i="3"/>
  <c r="W28" i="3"/>
  <c r="S28" i="3"/>
  <c r="R28" i="3"/>
  <c r="W27" i="3"/>
  <c r="S27" i="3"/>
  <c r="R27" i="3"/>
  <c r="W26" i="3"/>
  <c r="S26" i="3"/>
  <c r="R26" i="3"/>
  <c r="W25" i="3"/>
  <c r="S25" i="3"/>
  <c r="R25" i="3"/>
  <c r="W24" i="3"/>
  <c r="S24" i="3"/>
  <c r="R24" i="3"/>
  <c r="W23" i="3"/>
  <c r="S23" i="3"/>
  <c r="R23" i="3"/>
  <c r="W22" i="3"/>
  <c r="S22" i="3"/>
  <c r="R22" i="3"/>
  <c r="W21" i="3"/>
  <c r="S21" i="3"/>
  <c r="R21" i="3"/>
  <c r="W20" i="3"/>
  <c r="S20" i="3"/>
  <c r="R20" i="3"/>
  <c r="W19" i="3"/>
  <c r="S19" i="3"/>
  <c r="R19" i="3"/>
  <c r="W18" i="3"/>
  <c r="S18" i="3"/>
  <c r="R18" i="3"/>
  <c r="W17" i="3"/>
  <c r="S17" i="3"/>
  <c r="R17" i="3"/>
  <c r="W16" i="3"/>
  <c r="S16" i="3"/>
  <c r="R16" i="3"/>
  <c r="W15" i="3"/>
  <c r="S15" i="3"/>
  <c r="R15" i="3"/>
  <c r="W14" i="3"/>
  <c r="S14" i="3"/>
  <c r="R14" i="3"/>
  <c r="W13" i="3"/>
  <c r="C17" i="4" s="1"/>
  <c r="R13" i="3"/>
  <c r="C8" i="4" s="1"/>
  <c r="D8" i="4" s="1"/>
  <c r="W12" i="3"/>
  <c r="B17" i="4" s="1"/>
  <c r="S12" i="3"/>
  <c r="R12" i="3"/>
  <c r="W11" i="3"/>
  <c r="R11" i="3"/>
  <c r="W10" i="3"/>
  <c r="S10" i="3"/>
  <c r="R10" i="3"/>
  <c r="W9" i="3"/>
  <c r="R9" i="3"/>
  <c r="W8" i="3"/>
  <c r="S8" i="3"/>
  <c r="R8" i="3"/>
  <c r="S9" i="3" s="1"/>
  <c r="W7" i="3"/>
  <c r="R7" i="3"/>
  <c r="W6" i="3"/>
  <c r="S6" i="3"/>
  <c r="R6" i="3"/>
  <c r="S7" i="3" s="1"/>
  <c r="W5" i="3"/>
  <c r="S5" i="3"/>
  <c r="R5" i="3"/>
  <c r="D17" i="4" l="1"/>
</calcChain>
</file>

<file path=xl/sharedStrings.xml><?xml version="1.0" encoding="utf-8"?>
<sst xmlns="http://schemas.openxmlformats.org/spreadsheetml/2006/main" count="329" uniqueCount="246">
  <si>
    <r>
      <rPr>
        <b/>
        <sz val="14"/>
        <rFont val="Noto Sans CJK SC"/>
        <family val="2"/>
      </rPr>
      <t>트랙</t>
    </r>
    <r>
      <rPr>
        <b/>
        <sz val="14"/>
        <rFont val="Arial"/>
        <family val="2"/>
      </rPr>
      <t xml:space="preserve">2 </t>
    </r>
    <r>
      <rPr>
        <b/>
        <sz val="14"/>
        <rFont val="Noto Sans CJK SC"/>
        <family val="2"/>
      </rPr>
      <t>예선 — 실험 기록 워크북</t>
    </r>
  </si>
  <si>
    <r>
      <rPr>
        <i/>
        <sz val="9"/>
        <color rgb="FF595959"/>
        <rFont val="Arial"/>
        <family val="2"/>
      </rPr>
      <t xml:space="preserve">2026 </t>
    </r>
    <r>
      <rPr>
        <i/>
        <sz val="9"/>
        <color rgb="FF595959"/>
        <rFont val="Noto Sans CJK SC"/>
        <family val="2"/>
      </rPr>
      <t xml:space="preserve">모바일공학전공 하반기 학술대회 </t>
    </r>
    <r>
      <rPr>
        <i/>
        <sz val="9"/>
        <color rgb="FF595959"/>
        <rFont val="Arial"/>
        <family val="2"/>
      </rPr>
      <t xml:space="preserve">/ </t>
    </r>
    <r>
      <rPr>
        <i/>
        <sz val="9"/>
        <color rgb="FF595959"/>
        <rFont val="Noto Sans CJK SC"/>
        <family val="2"/>
      </rPr>
      <t>지정주제</t>
    </r>
    <r>
      <rPr>
        <i/>
        <sz val="9"/>
        <color rgb="FF595959"/>
        <rFont val="Arial"/>
        <family val="2"/>
      </rPr>
      <t xml:space="preserve">: KITTI </t>
    </r>
    <r>
      <rPr>
        <i/>
        <sz val="9"/>
        <color rgb="FF595959"/>
        <rFont val="Noto Sans CJK SC"/>
        <family val="2"/>
      </rPr>
      <t>자율주행 객체 검출</t>
    </r>
  </si>
  <si>
    <t>■ 시트 구성</t>
  </si>
  <si>
    <t>측정조건</t>
  </si>
  <si>
    <r>
      <rPr>
        <sz val="10"/>
        <rFont val="Noto Sans CJK SC"/>
        <family val="2"/>
      </rPr>
      <t>실험 시작 전에 한 번 채운다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여기 적힌 조건을 모든 실험에 동일하게 적용한다</t>
    </r>
    <r>
      <rPr>
        <sz val="10"/>
        <rFont val="Arial"/>
        <family val="2"/>
      </rPr>
      <t>.</t>
    </r>
  </si>
  <si>
    <t>실험로그</t>
  </si>
  <si>
    <t>평가 완료 시 자동 입력. 결과 해석·다음 실험은 사람이 보완. 회색 칸은 수식 유지.</t>
  </si>
  <si>
    <t>보고서요약</t>
  </si>
  <si>
    <r>
      <rPr>
        <sz val="10"/>
        <rFont val="Noto Sans CJK SC"/>
        <family val="2"/>
      </rPr>
      <t xml:space="preserve">비교할 실험 </t>
    </r>
    <r>
      <rPr>
        <sz val="10"/>
        <rFont val="Arial"/>
        <family val="2"/>
      </rPr>
      <t xml:space="preserve">ID </t>
    </r>
    <r>
      <rPr>
        <sz val="10"/>
        <rFont val="Noto Sans CJK SC"/>
        <family val="2"/>
      </rPr>
      <t>두 개를 넣으면 보고서용 비교표가 자동으로 만들어진다</t>
    </r>
    <r>
      <rPr>
        <sz val="10"/>
        <rFont val="Arial"/>
        <family val="2"/>
      </rPr>
      <t>.</t>
    </r>
  </si>
  <si>
    <r>
      <rPr>
        <b/>
        <sz val="11"/>
        <color rgb="FF1F3864"/>
        <rFont val="Noto Sans CJK SC"/>
        <family val="2"/>
      </rPr>
      <t xml:space="preserve">■ 공지가 정한 평가 지표 </t>
    </r>
    <r>
      <rPr>
        <b/>
        <sz val="11"/>
        <color rgb="FF1F3864"/>
        <rFont val="Arial"/>
        <family val="2"/>
      </rPr>
      <t>(</t>
    </r>
    <r>
      <rPr>
        <b/>
        <sz val="11"/>
        <color rgb="FF1F3864"/>
        <rFont val="Noto Sans CJK SC"/>
        <family val="2"/>
      </rPr>
      <t>변경 불가</t>
    </r>
    <r>
      <rPr>
        <b/>
        <sz val="11"/>
        <color rgb="FF1F3864"/>
        <rFont val="Arial"/>
        <family val="2"/>
      </rPr>
      <t>)</t>
    </r>
  </si>
  <si>
    <t>1. Moderate AP40</t>
  </si>
  <si>
    <r>
      <rPr>
        <sz val="10"/>
        <rFont val="Noto Sans CJK SC"/>
        <family val="2"/>
      </rPr>
      <t>공식 주지표</t>
    </r>
    <r>
      <rPr>
        <sz val="10"/>
        <rFont val="Arial"/>
        <family val="2"/>
      </rPr>
      <t>. Car / Pedestrian / Cyclist 3</t>
    </r>
    <r>
      <rPr>
        <sz val="10"/>
        <rFont val="Noto Sans CJK SC"/>
        <family val="2"/>
      </rPr>
      <t xml:space="preserve">클래스의 </t>
    </r>
    <r>
      <rPr>
        <sz val="10"/>
        <rFont val="Arial"/>
        <family val="2"/>
      </rPr>
      <t xml:space="preserve">Moderate AP40 </t>
    </r>
    <r>
      <rPr>
        <sz val="10"/>
        <rFont val="Noto Sans CJK SC"/>
        <family val="2"/>
      </rPr>
      <t>평균</t>
    </r>
  </si>
  <si>
    <t>2. AP40 Drop Rate</t>
  </si>
  <si>
    <r>
      <rPr>
        <sz val="10"/>
        <rFont val="Noto Sans CJK SC"/>
        <family val="2"/>
      </rPr>
      <t xml:space="preserve">양자화 전후 정확도 하락률 </t>
    </r>
    <r>
      <rPr>
        <sz val="10"/>
        <rFont val="Arial"/>
        <family val="2"/>
      </rPr>
      <t xml:space="preserve">(%). </t>
    </r>
    <r>
      <rPr>
        <sz val="10"/>
        <rFont val="Noto Sans CJK SC"/>
        <family val="2"/>
      </rPr>
      <t>공지의 핵심 평가 축</t>
    </r>
  </si>
  <si>
    <r>
      <rPr>
        <b/>
        <sz val="10"/>
        <rFont val="Arial"/>
        <family val="2"/>
      </rPr>
      <t xml:space="preserve">3. </t>
    </r>
    <r>
      <rPr>
        <b/>
        <sz val="10"/>
        <rFont val="Noto Sans CJK SC"/>
        <family val="2"/>
      </rPr>
      <t xml:space="preserve">파라미터 수 </t>
    </r>
    <r>
      <rPr>
        <b/>
        <sz val="10"/>
        <rFont val="Arial"/>
        <family val="2"/>
      </rPr>
      <t>(M)</t>
    </r>
  </si>
  <si>
    <t>모델 파라미터 개수</t>
  </si>
  <si>
    <t>4. FLOPs (G)</t>
  </si>
  <si>
    <r>
      <rPr>
        <sz val="10"/>
        <rFont val="Arial"/>
        <family val="2"/>
      </rPr>
      <t>1</t>
    </r>
    <r>
      <rPr>
        <sz val="10"/>
        <rFont val="Noto Sans CJK SC"/>
        <family val="2"/>
      </rPr>
      <t>장 추론 연산량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팀 전체가 </t>
    </r>
    <r>
      <rPr>
        <sz val="10"/>
        <rFont val="Arial"/>
        <family val="2"/>
      </rPr>
      <t xml:space="preserve">MACs x 2 </t>
    </r>
    <r>
      <rPr>
        <sz val="10"/>
        <rFont val="Noto Sans CJK SC"/>
        <family val="2"/>
      </rPr>
      <t>기준으로 통일한다</t>
    </r>
  </si>
  <si>
    <r>
      <rPr>
        <b/>
        <sz val="10"/>
        <rFont val="Arial"/>
        <family val="2"/>
      </rPr>
      <t xml:space="preserve">5. </t>
    </r>
    <r>
      <rPr>
        <b/>
        <sz val="10"/>
        <rFont val="Noto Sans CJK SC"/>
        <family val="2"/>
      </rPr>
      <t xml:space="preserve">메모리 사용량 </t>
    </r>
    <r>
      <rPr>
        <b/>
        <sz val="10"/>
        <rFont val="Arial"/>
        <family val="2"/>
      </rPr>
      <t>(MB)</t>
    </r>
  </si>
  <si>
    <t>전체 프로세스 CPU RSS 피크 (decimal MB). GPU VRAM과 다름.</t>
  </si>
  <si>
    <t>6. Latency (ms)</t>
  </si>
  <si>
    <r>
      <rPr>
        <sz val="10"/>
        <rFont val="Noto Sans CJK SC"/>
        <family val="2"/>
      </rPr>
      <t xml:space="preserve">데스크탑 기준 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장 추론 지연</t>
    </r>
    <r>
      <rPr>
        <sz val="10"/>
        <rFont val="Arial"/>
        <family val="2"/>
      </rPr>
      <t xml:space="preserve">. p50 / p95 </t>
    </r>
    <r>
      <rPr>
        <sz val="10"/>
        <rFont val="Noto Sans CJK SC"/>
        <family val="2"/>
      </rPr>
      <t>함께 기록</t>
    </r>
  </si>
  <si>
    <t>■ 실험 진행 원칙</t>
  </si>
  <si>
    <r>
      <rPr>
        <b/>
        <sz val="10"/>
        <rFont val="Noto Sans CJK SC"/>
        <family val="2"/>
      </rPr>
      <t xml:space="preserve">원칙 </t>
    </r>
    <r>
      <rPr>
        <b/>
        <sz val="10"/>
        <rFont val="Arial"/>
        <family val="2"/>
      </rPr>
      <t>1</t>
    </r>
  </si>
  <si>
    <r>
      <rPr>
        <sz val="10"/>
        <rFont val="Arial"/>
        <family val="2"/>
      </rPr>
      <t>Baseline</t>
    </r>
    <r>
      <rPr>
        <sz val="10"/>
        <rFont val="Noto Sans CJK SC"/>
        <family val="2"/>
      </rPr>
      <t>을 먼저 확정한다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손대지 않은 모델로 </t>
    </r>
    <r>
      <rPr>
        <sz val="10"/>
        <rFont val="Arial"/>
        <family val="2"/>
      </rPr>
      <t>6</t>
    </r>
    <r>
      <rPr>
        <sz val="10"/>
        <rFont val="Noto Sans CJK SC"/>
        <family val="2"/>
      </rPr>
      <t>개 지표를 전부 채운 행이 기준점이 된다</t>
    </r>
    <r>
      <rPr>
        <sz val="10"/>
        <rFont val="Arial"/>
        <family val="2"/>
      </rPr>
      <t>.</t>
    </r>
  </si>
  <si>
    <r>
      <rPr>
        <b/>
        <sz val="10"/>
        <rFont val="Noto Sans CJK SC"/>
        <family val="2"/>
      </rPr>
      <t xml:space="preserve">원칙 </t>
    </r>
    <r>
      <rPr>
        <b/>
        <sz val="10"/>
        <rFont val="Arial"/>
        <family val="2"/>
      </rPr>
      <t>2</t>
    </r>
  </si>
  <si>
    <r>
      <rPr>
        <sz val="10"/>
        <rFont val="Noto Sans CJK SC"/>
        <family val="2"/>
      </rPr>
      <t>한 번에 한 가지만 바꾼다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두 가지를 동시에 바꾸면 어느 쪽 효과인지 알 수 없다</t>
    </r>
    <r>
      <rPr>
        <sz val="10"/>
        <rFont val="Arial"/>
        <family val="2"/>
      </rPr>
      <t>.</t>
    </r>
  </si>
  <si>
    <r>
      <rPr>
        <b/>
        <sz val="10"/>
        <rFont val="Noto Sans CJK SC"/>
        <family val="2"/>
      </rPr>
      <t xml:space="preserve">원칙 </t>
    </r>
    <r>
      <rPr>
        <b/>
        <sz val="10"/>
        <rFont val="Arial"/>
        <family val="2"/>
      </rPr>
      <t>3</t>
    </r>
  </si>
  <si>
    <r>
      <rPr>
        <sz val="10"/>
        <rFont val="Noto Sans CJK SC"/>
        <family val="2"/>
      </rPr>
      <t xml:space="preserve">모든 실험은 </t>
    </r>
    <r>
      <rPr>
        <sz val="10"/>
        <rFont val="Arial"/>
        <family val="2"/>
      </rPr>
      <t>eval_val.txt 1,000</t>
    </r>
    <r>
      <rPr>
        <sz val="10"/>
        <rFont val="Noto Sans CJK SC"/>
        <family val="2"/>
      </rPr>
      <t>장 고정 평가셋으로만 측정한다</t>
    </r>
    <r>
      <rPr>
        <sz val="10"/>
        <rFont val="Arial"/>
        <family val="2"/>
      </rPr>
      <t>.</t>
    </r>
  </si>
  <si>
    <r>
      <rPr>
        <b/>
        <sz val="10"/>
        <rFont val="Noto Sans CJK SC"/>
        <family val="2"/>
      </rPr>
      <t xml:space="preserve">원칙 </t>
    </r>
    <r>
      <rPr>
        <b/>
        <sz val="10"/>
        <rFont val="Arial"/>
        <family val="2"/>
      </rPr>
      <t>4</t>
    </r>
  </si>
  <si>
    <r>
      <rPr>
        <sz val="10"/>
        <rFont val="Noto Sans CJK SC"/>
        <family val="2"/>
      </rPr>
      <t>속도</t>
    </r>
    <r>
      <rPr>
        <sz val="10"/>
        <rFont val="Arial"/>
        <family val="2"/>
      </rPr>
      <t>/</t>
    </r>
    <r>
      <rPr>
        <sz val="10"/>
        <rFont val="Noto Sans CJK SC"/>
        <family val="2"/>
      </rPr>
      <t xml:space="preserve">메모리는 지정한 </t>
    </r>
    <r>
      <rPr>
        <sz val="10"/>
        <rFont val="Arial"/>
        <family val="2"/>
      </rPr>
      <t>PC 1</t>
    </r>
    <r>
      <rPr>
        <sz val="10"/>
        <rFont val="Noto Sans CJK SC"/>
        <family val="2"/>
      </rPr>
      <t>대에서만 측정한다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다른 </t>
    </r>
    <r>
      <rPr>
        <sz val="10"/>
        <rFont val="Arial"/>
        <family val="2"/>
      </rPr>
      <t xml:space="preserve">PC </t>
    </r>
    <r>
      <rPr>
        <sz val="10"/>
        <rFont val="Noto Sans CJK SC"/>
        <family val="2"/>
      </rPr>
      <t>결과는 이 표에 넣지 않는다</t>
    </r>
    <r>
      <rPr>
        <sz val="10"/>
        <rFont val="Arial"/>
        <family val="2"/>
      </rPr>
      <t>.</t>
    </r>
  </si>
  <si>
    <r>
      <rPr>
        <b/>
        <sz val="10"/>
        <rFont val="Noto Sans CJK SC"/>
        <family val="2"/>
      </rPr>
      <t xml:space="preserve">원칙 </t>
    </r>
    <r>
      <rPr>
        <b/>
        <sz val="10"/>
        <rFont val="Arial"/>
        <family val="2"/>
      </rPr>
      <t>5</t>
    </r>
  </si>
  <si>
    <r>
      <rPr>
        <sz val="10"/>
        <rFont val="Noto Sans CJK SC"/>
        <family val="2"/>
      </rPr>
      <t>가설을 먼저 적고 실험한다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 xml:space="preserve">결과가 예상과 달라도 그대로 기록한다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그 자체가 보고서 재료</t>
    </r>
    <r>
      <rPr>
        <sz val="10"/>
        <rFont val="Arial"/>
        <family val="2"/>
      </rPr>
      <t>).</t>
    </r>
  </si>
  <si>
    <r>
      <rPr>
        <b/>
        <sz val="11"/>
        <color rgb="FF1F3864"/>
        <rFont val="Arial"/>
        <family val="2"/>
      </rPr>
      <t xml:space="preserve">■ AP40 </t>
    </r>
    <r>
      <rPr>
        <b/>
        <sz val="11"/>
        <color rgb="FF1F3864"/>
        <rFont val="Noto Sans CJK SC"/>
        <family val="2"/>
      </rPr>
      <t>입력 시 주의</t>
    </r>
  </si>
  <si>
    <t>스케일</t>
  </si>
  <si>
    <r>
      <rPr>
        <sz val="10"/>
        <rFont val="Arial"/>
        <family val="2"/>
      </rPr>
      <t xml:space="preserve">KITTI </t>
    </r>
    <r>
      <rPr>
        <sz val="10"/>
        <rFont val="Noto Sans CJK SC"/>
        <family val="2"/>
      </rPr>
      <t xml:space="preserve">공식 평가 코드가 출력하는 </t>
    </r>
    <r>
      <rPr>
        <sz val="10"/>
        <rFont val="Arial"/>
        <family val="2"/>
      </rPr>
      <t xml:space="preserve">0~100 </t>
    </r>
    <r>
      <rPr>
        <sz val="10"/>
        <rFont val="Noto Sans CJK SC"/>
        <family val="2"/>
      </rPr>
      <t xml:space="preserve">스케일 그대로 입력한다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예</t>
    </r>
    <r>
      <rPr>
        <sz val="10"/>
        <rFont val="Arial"/>
        <family val="2"/>
      </rPr>
      <t xml:space="preserve">: 72.45). 0~1 </t>
    </r>
    <r>
      <rPr>
        <sz val="10"/>
        <rFont val="Noto Sans CJK SC"/>
        <family val="2"/>
      </rPr>
      <t>로 넣지 말 것</t>
    </r>
    <r>
      <rPr>
        <sz val="10"/>
        <rFont val="Arial"/>
        <family val="2"/>
      </rPr>
      <t>.</t>
    </r>
  </si>
  <si>
    <t>평가 코드</t>
  </si>
  <si>
    <t>KITTI 2D AP40 구현을 사용. 주최 측 채점기 최종 대조 전. model.val() mAP와 다름.</t>
  </si>
  <si>
    <t>난이도</t>
  </si>
  <si>
    <r>
      <rPr>
        <sz val="10"/>
        <rFont val="Arial"/>
        <family val="2"/>
      </rPr>
      <t xml:space="preserve">Moderate </t>
    </r>
    <r>
      <rPr>
        <sz val="10"/>
        <rFont val="Noto Sans CJK SC"/>
        <family val="2"/>
      </rPr>
      <t xml:space="preserve">난이도 결과만 입력한다 </t>
    </r>
    <r>
      <rPr>
        <sz val="10"/>
        <rFont val="Arial"/>
        <family val="2"/>
      </rPr>
      <t xml:space="preserve">(Easy/Hard </t>
    </r>
    <r>
      <rPr>
        <sz val="10"/>
        <rFont val="Noto Sans CJK SC"/>
        <family val="2"/>
      </rPr>
      <t>는 참고용으로 비고란에 기록</t>
    </r>
    <r>
      <rPr>
        <sz val="10"/>
        <rFont val="Arial"/>
        <family val="2"/>
      </rPr>
      <t>).</t>
    </r>
  </si>
  <si>
    <t>■ 셀 색상 규칙</t>
  </si>
  <si>
    <r>
      <rPr>
        <b/>
        <sz val="10"/>
        <rFont val="Noto Sans CJK SC"/>
        <family val="2"/>
      </rPr>
      <t xml:space="preserve">파란 글씨 </t>
    </r>
    <r>
      <rPr>
        <b/>
        <sz val="10"/>
        <rFont val="Arial"/>
        <family val="2"/>
      </rPr>
      <t xml:space="preserve">+ </t>
    </r>
    <r>
      <rPr>
        <b/>
        <sz val="10"/>
        <rFont val="Noto Sans CJK SC"/>
        <family val="2"/>
      </rPr>
      <t>노란 배경</t>
    </r>
  </si>
  <si>
    <t>직접 입력하는 칸</t>
  </si>
  <si>
    <r>
      <rPr>
        <b/>
        <sz val="10"/>
        <rFont val="Noto Sans CJK SC"/>
        <family val="2"/>
      </rPr>
      <t xml:space="preserve">검정 글씨 </t>
    </r>
    <r>
      <rPr>
        <b/>
        <sz val="10"/>
        <rFont val="Arial"/>
        <family val="2"/>
      </rPr>
      <t xml:space="preserve">+ </t>
    </r>
    <r>
      <rPr>
        <b/>
        <sz val="10"/>
        <rFont val="Noto Sans CJK SC"/>
        <family val="2"/>
      </rPr>
      <t>회색 배경</t>
    </r>
  </si>
  <si>
    <r>
      <rPr>
        <sz val="10"/>
        <rFont val="Noto Sans CJK SC"/>
        <family val="2"/>
      </rPr>
      <t xml:space="preserve">자동 계산되는 칸 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건드리지 말 것</t>
    </r>
    <r>
      <rPr>
        <sz val="10"/>
        <rFont val="Arial"/>
        <family val="2"/>
      </rPr>
      <t>)</t>
    </r>
  </si>
  <si>
    <t>연두색 행</t>
  </si>
  <si>
    <r>
      <rPr>
        <sz val="10"/>
        <rFont val="Noto Sans CJK SC"/>
        <family val="2"/>
      </rPr>
      <t>작성 예시</t>
    </r>
    <r>
      <rPr>
        <sz val="10"/>
        <rFont val="Arial"/>
        <family val="2"/>
      </rPr>
      <t xml:space="preserve">. </t>
    </r>
    <r>
      <rPr>
        <sz val="10"/>
        <rFont val="Noto Sans CJK SC"/>
        <family val="2"/>
      </rPr>
      <t>실제 실험을 시작하면 지우고 사용한다</t>
    </r>
  </si>
  <si>
    <t>측정 조건 고정표</t>
  </si>
  <si>
    <r>
      <rPr>
        <i/>
        <sz val="9"/>
        <color rgb="FF595959"/>
        <rFont val="Noto Sans CJK SC"/>
        <family val="2"/>
      </rPr>
      <t>실험 시작 전에 채우고</t>
    </r>
    <r>
      <rPr>
        <i/>
        <sz val="9"/>
        <color rgb="FF595959"/>
        <rFont val="Arial"/>
        <family val="2"/>
      </rPr>
      <t xml:space="preserve">, </t>
    </r>
    <r>
      <rPr>
        <i/>
        <sz val="9"/>
        <color rgb="FF595959"/>
        <rFont val="Noto Sans CJK SC"/>
        <family val="2"/>
      </rPr>
      <t>이후 변경하지 않는다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변경할 경우 그 이전 실험 결과는 비교 대상에서 제외한다</t>
    </r>
    <r>
      <rPr>
        <i/>
        <sz val="9"/>
        <color rgb="FF595959"/>
        <rFont val="Arial"/>
        <family val="2"/>
      </rPr>
      <t>.</t>
    </r>
  </si>
  <si>
    <t>데이터셋</t>
  </si>
  <si>
    <t>평가셋</t>
  </si>
  <si>
    <r>
      <rPr>
        <sz val="10"/>
        <color rgb="FF0000FF"/>
        <rFont val="Arial"/>
        <family val="2"/>
      </rPr>
      <t>eval_val.txt (1,000</t>
    </r>
    <r>
      <rPr>
        <sz val="10"/>
        <color rgb="FF0000FF"/>
        <rFont val="Noto Sans CJK SC"/>
        <family val="2"/>
      </rPr>
      <t>장 고정</t>
    </r>
    <r>
      <rPr>
        <sz val="10"/>
        <color rgb="FF0000FF"/>
        <rFont val="Arial"/>
        <family val="2"/>
      </rPr>
      <t>)</t>
    </r>
  </si>
  <si>
    <r>
      <rPr>
        <i/>
        <sz val="9"/>
        <color rgb="FF595959"/>
        <rFont val="Noto Sans CJK SC"/>
        <family val="2"/>
      </rPr>
      <t>공지 지정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변경 불가</t>
    </r>
  </si>
  <si>
    <t>평가셋 검증</t>
  </si>
  <si>
    <t>OK</t>
  </si>
  <si>
    <r>
      <rPr>
        <i/>
        <sz val="9"/>
        <color rgb="FF595959"/>
        <rFont val="Arial"/>
        <family val="2"/>
      </rPr>
      <t>1,000</t>
    </r>
    <r>
      <rPr>
        <i/>
        <sz val="9"/>
        <color rgb="FF595959"/>
        <rFont val="Noto Sans CJK SC"/>
        <family val="2"/>
      </rPr>
      <t xml:space="preserve">개 인덱스가 모두 존재하는지 확인했으면 </t>
    </r>
    <r>
      <rPr>
        <i/>
        <sz val="9"/>
        <color rgb="FF595959"/>
        <rFont val="Arial"/>
        <family val="2"/>
      </rPr>
      <t xml:space="preserve">OK </t>
    </r>
    <r>
      <rPr>
        <i/>
        <sz val="9"/>
        <color rgb="FF595959"/>
        <rFont val="Noto Sans CJK SC"/>
        <family val="2"/>
      </rPr>
      <t>입력</t>
    </r>
  </si>
  <si>
    <t>학습셋 장수</t>
  </si>
  <si>
    <t>내부 검증 648장 별도; 고정 평가 1,000장 제외</t>
  </si>
  <si>
    <t>데이터셋 출처</t>
  </si>
  <si>
    <t>KITTI 원본 image_2 / label_2</t>
  </si>
  <si>
    <r>
      <rPr>
        <i/>
        <sz val="9"/>
        <color rgb="FF595959"/>
        <rFont val="Arial"/>
        <family val="2"/>
      </rPr>
      <t xml:space="preserve">cvlibs </t>
    </r>
    <r>
      <rPr>
        <i/>
        <sz val="9"/>
        <color rgb="FF595959"/>
        <rFont val="Noto Sans CJK SC"/>
        <family val="2"/>
      </rPr>
      <t xml:space="preserve">공식 </t>
    </r>
    <r>
      <rPr>
        <i/>
        <sz val="9"/>
        <color rgb="FF595959"/>
        <rFont val="Arial"/>
        <family val="2"/>
      </rPr>
      <t>data_object_image_2.zip + data_object_label_2.zip</t>
    </r>
  </si>
  <si>
    <t>클래스</t>
  </si>
  <si>
    <t>Car / Pedestrian / Cyclist</t>
  </si>
  <si>
    <r>
      <rPr>
        <i/>
        <sz val="9"/>
        <color rgb="FF595959"/>
        <rFont val="Noto Sans CJK SC"/>
        <family val="2"/>
      </rPr>
      <t xml:space="preserve">공지 지정 </t>
    </r>
    <r>
      <rPr>
        <i/>
        <sz val="9"/>
        <color rgb="FF595959"/>
        <rFont val="Arial"/>
        <family val="2"/>
      </rPr>
      <t>3</t>
    </r>
    <r>
      <rPr>
        <i/>
        <sz val="9"/>
        <color rgb="FF595959"/>
        <rFont val="Noto Sans CJK SC"/>
        <family val="2"/>
      </rPr>
      <t>클래스</t>
    </r>
  </si>
  <si>
    <t>전처리</t>
  </si>
  <si>
    <t>입력 해상도</t>
  </si>
  <si>
    <t>640 x 640</t>
  </si>
  <si>
    <r>
      <rPr>
        <i/>
        <sz val="9"/>
        <color rgb="FF595959"/>
        <rFont val="Noto Sans CJK SC"/>
        <family val="2"/>
      </rPr>
      <t>예</t>
    </r>
    <r>
      <rPr>
        <i/>
        <sz val="9"/>
        <color rgb="FF595959"/>
        <rFont val="Arial"/>
        <family val="2"/>
      </rPr>
      <t xml:space="preserve">: 1280x384 </t>
    </r>
    <r>
      <rPr>
        <i/>
        <sz val="9"/>
        <color rgb="FF595959"/>
        <rFont val="Noto Sans CJK SC"/>
        <family val="2"/>
      </rPr>
      <t xml:space="preserve">또는 </t>
    </r>
    <r>
      <rPr>
        <i/>
        <sz val="9"/>
        <color rgb="FF595959"/>
        <rFont val="Arial"/>
        <family val="2"/>
      </rPr>
      <t>640x192 (</t>
    </r>
    <r>
      <rPr>
        <i/>
        <sz val="9"/>
        <color rgb="FF595959"/>
        <rFont val="Noto Sans CJK SC"/>
        <family val="2"/>
      </rPr>
      <t xml:space="preserve">가로 </t>
    </r>
    <r>
      <rPr>
        <i/>
        <sz val="9"/>
        <color rgb="FF595959"/>
        <rFont val="Arial"/>
        <family val="2"/>
      </rPr>
      <t xml:space="preserve">1280 </t>
    </r>
    <r>
      <rPr>
        <i/>
        <sz val="9"/>
        <color rgb="FF595959"/>
        <rFont val="Noto Sans CJK SC"/>
        <family val="2"/>
      </rPr>
      <t>이하</t>
    </r>
    <r>
      <rPr>
        <i/>
        <sz val="9"/>
        <color rgb="FF595959"/>
        <rFont val="Arial"/>
        <family val="2"/>
      </rPr>
      <t>, 32</t>
    </r>
    <r>
      <rPr>
        <i/>
        <sz val="9"/>
        <color rgb="FF595959"/>
        <rFont val="Noto Sans CJK SC"/>
        <family val="2"/>
      </rPr>
      <t>의 배수</t>
    </r>
    <r>
      <rPr>
        <i/>
        <sz val="9"/>
        <color rgb="FF595959"/>
        <rFont val="Arial"/>
        <family val="2"/>
      </rPr>
      <t>)</t>
    </r>
  </si>
  <si>
    <t>리사이즈 방식</t>
  </si>
  <si>
    <t>letterbox (rect=False)</t>
  </si>
  <si>
    <r>
      <rPr>
        <i/>
        <sz val="9"/>
        <color rgb="FF595959"/>
        <rFont val="Arial"/>
        <family val="2"/>
      </rPr>
      <t xml:space="preserve">letterbox / </t>
    </r>
    <r>
      <rPr>
        <i/>
        <sz val="9"/>
        <color rgb="FF595959"/>
        <rFont val="Noto Sans CJK SC"/>
        <family val="2"/>
      </rPr>
      <t xml:space="preserve">직접 </t>
    </r>
    <r>
      <rPr>
        <i/>
        <sz val="9"/>
        <color rgb="FF595959"/>
        <rFont val="Arial"/>
        <family val="2"/>
      </rPr>
      <t xml:space="preserve">resize </t>
    </r>
    <r>
      <rPr>
        <i/>
        <sz val="9"/>
        <color rgb="FF595959"/>
        <rFont val="Noto Sans CJK SC"/>
        <family val="2"/>
      </rPr>
      <t>중 택</t>
    </r>
    <r>
      <rPr>
        <i/>
        <sz val="9"/>
        <color rgb="FF595959"/>
        <rFont val="Arial"/>
        <family val="2"/>
      </rPr>
      <t xml:space="preserve">1. </t>
    </r>
    <r>
      <rPr>
        <i/>
        <sz val="9"/>
        <color rgb="FF595959"/>
        <rFont val="Noto Sans CJK SC"/>
        <family val="2"/>
      </rPr>
      <t>전 실험 동일하게</t>
    </r>
  </si>
  <si>
    <t>패딩 색상</t>
  </si>
  <si>
    <r>
      <rPr>
        <i/>
        <sz val="9"/>
        <color rgb="FF595959"/>
        <rFont val="Arial"/>
        <family val="2"/>
      </rPr>
      <t xml:space="preserve">letterbox </t>
    </r>
    <r>
      <rPr>
        <i/>
        <sz val="9"/>
        <color rgb="FF595959"/>
        <rFont val="Noto Sans CJK SC"/>
        <family val="2"/>
      </rPr>
      <t>사용 시</t>
    </r>
  </si>
  <si>
    <t>정규화</t>
  </si>
  <si>
    <t>RGB / 255 (0~1)</t>
  </si>
  <si>
    <r>
      <rPr>
        <i/>
        <sz val="9"/>
        <color rgb="FF595959"/>
        <rFont val="Arial"/>
        <family val="2"/>
      </rPr>
      <t xml:space="preserve">0~1 </t>
    </r>
    <r>
      <rPr>
        <i/>
        <sz val="9"/>
        <color rgb="FF595959"/>
        <rFont val="Noto Sans CJK SC"/>
        <family val="2"/>
      </rPr>
      <t xml:space="preserve">스케일 </t>
    </r>
    <r>
      <rPr>
        <i/>
        <sz val="9"/>
        <color rgb="FF595959"/>
        <rFont val="Arial"/>
        <family val="2"/>
      </rPr>
      <t xml:space="preserve">/ mean-std </t>
    </r>
    <r>
      <rPr>
        <i/>
        <sz val="9"/>
        <color rgb="FF595959"/>
        <rFont val="Noto Sans CJK SC"/>
        <family val="2"/>
      </rPr>
      <t>중 택</t>
    </r>
    <r>
      <rPr>
        <i/>
        <sz val="9"/>
        <color rgb="FF595959"/>
        <rFont val="Arial"/>
        <family val="2"/>
      </rPr>
      <t>1</t>
    </r>
  </si>
  <si>
    <t>추론 설정</t>
  </si>
  <si>
    <t>batch size</t>
  </si>
  <si>
    <t>엣지 배포 조건과 동일하게</t>
  </si>
  <si>
    <t>confidence threshold</t>
  </si>
  <si>
    <r>
      <rPr>
        <i/>
        <sz val="9"/>
        <color rgb="FF595959"/>
        <rFont val="Arial"/>
        <family val="2"/>
      </rPr>
      <t xml:space="preserve">AP </t>
    </r>
    <r>
      <rPr>
        <i/>
        <sz val="9"/>
        <color rgb="FF595959"/>
        <rFont val="Noto Sans CJK SC"/>
        <family val="2"/>
      </rPr>
      <t>계산용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 xml:space="preserve">데모용 </t>
    </r>
    <r>
      <rPr>
        <i/>
        <sz val="9"/>
        <color rgb="FF595959"/>
        <rFont val="Arial"/>
        <family val="2"/>
      </rPr>
      <t>0.25</t>
    </r>
    <r>
      <rPr>
        <i/>
        <sz val="9"/>
        <color rgb="FF595959"/>
        <rFont val="Noto Sans CJK SC"/>
        <family val="2"/>
      </rPr>
      <t>와 혼용 금지</t>
    </r>
  </si>
  <si>
    <t>NMS IoU threshold</t>
  </si>
  <si>
    <t>고정 후 보고서에 명시</t>
  </si>
  <si>
    <t>max detections</t>
  </si>
  <si>
    <t>속도 측정</t>
  </si>
  <si>
    <r>
      <rPr>
        <sz val="10"/>
        <rFont val="Arial"/>
        <family val="2"/>
      </rPr>
      <t xml:space="preserve">warm-up </t>
    </r>
    <r>
      <rPr>
        <sz val="10"/>
        <rFont val="Noto Sans CJK SC"/>
        <family val="2"/>
      </rPr>
      <t>횟수</t>
    </r>
  </si>
  <si>
    <t>결과 폐기</t>
  </si>
  <si>
    <t>측정 반복 횟수</t>
  </si>
  <si>
    <t>고정 목록 앞 500장 순환; 전처리+추론+NMS 포함</t>
  </si>
  <si>
    <t>동기화</t>
  </si>
  <si>
    <t>CPU 동기 실행</t>
  </si>
  <si>
    <t>없으면 커널 큐잉 시간만 측정됨</t>
  </si>
  <si>
    <t>기록 항목</t>
  </si>
  <si>
    <r>
      <rPr>
        <sz val="409"/>
        <color rgb="FF0000FF"/>
        <rFont val="Arial"/>
        <family val="2"/>
      </rPr>
      <t xml:space="preserve">p50 / p95 / </t>
    </r>
    <r>
      <rPr>
        <sz val="409"/>
        <color rgb="FF0000FF"/>
        <rFont val="Noto Sans CJK SC"/>
        <family val="2"/>
      </rPr>
      <t>평균 분리 기록</t>
    </r>
  </si>
  <si>
    <t>E2E는 디스크/디코딩 포함 평균, Memory는 CPU RSS(decimal MB)</t>
  </si>
  <si>
    <r>
      <rPr>
        <b/>
        <sz val="409"/>
        <color rgb="FFFFFFFF"/>
        <rFont val="Noto Sans CJK SC"/>
        <family val="2"/>
      </rPr>
      <t xml:space="preserve">측정 환경 </t>
    </r>
    <r>
      <rPr>
        <b/>
        <sz val="409"/>
        <color rgb="FFFFFFFF"/>
        <rFont val="Arial"/>
        <family val="2"/>
      </rPr>
      <t>(1</t>
    </r>
    <r>
      <rPr>
        <b/>
        <sz val="409"/>
        <color rgb="FFFFFFFF"/>
        <rFont val="Noto Sans CJK SC"/>
        <family val="2"/>
      </rPr>
      <t>대 고정</t>
    </r>
    <r>
      <rPr>
        <b/>
        <sz val="409"/>
        <color rgb="FFFFFFFF"/>
        <rFont val="Arial"/>
        <family val="2"/>
      </rPr>
      <t>)</t>
    </r>
  </si>
  <si>
    <r>
      <rPr>
        <sz val="409"/>
        <color rgb="FF000000"/>
        <rFont val="Noto Sans CJK SC"/>
        <family val="2"/>
      </rPr>
      <t xml:space="preserve">측정 담당 </t>
    </r>
    <r>
      <rPr>
        <sz val="409"/>
        <color rgb="FF000000"/>
        <rFont val="Arial"/>
        <family val="2"/>
      </rPr>
      <t>PC</t>
    </r>
  </si>
  <si>
    <t>DESKTOP-B29DLEA</t>
  </si>
  <si>
    <r>
      <rPr>
        <i/>
        <sz val="409"/>
        <color rgb="FF595959"/>
        <rFont val="Noto Sans CJK SC"/>
        <family val="2"/>
      </rPr>
      <t xml:space="preserve">여기 적힌 </t>
    </r>
    <r>
      <rPr>
        <i/>
        <sz val="409"/>
        <color rgb="FF595959"/>
        <rFont val="Arial"/>
        <family val="2"/>
      </rPr>
      <t>PC</t>
    </r>
    <r>
      <rPr>
        <i/>
        <sz val="409"/>
        <color rgb="FF595959"/>
        <rFont val="Noto Sans CJK SC"/>
        <family val="2"/>
      </rPr>
      <t>에서만 속도</t>
    </r>
    <r>
      <rPr>
        <i/>
        <sz val="409"/>
        <color rgb="FF595959"/>
        <rFont val="Arial"/>
        <family val="2"/>
      </rPr>
      <t>/</t>
    </r>
    <r>
      <rPr>
        <i/>
        <sz val="409"/>
        <color rgb="FF595959"/>
        <rFont val="Noto Sans CJK SC"/>
        <family val="2"/>
      </rPr>
      <t>메모리 측정</t>
    </r>
  </si>
  <si>
    <t>CPU</t>
  </si>
  <si>
    <t>Intel64 Family 6 Model 198 Stepping 2, GenuineIntel</t>
  </si>
  <si>
    <t>GPU</t>
  </si>
  <si>
    <t>NVIDIA GeForce RTX 5070 Ti Laptop GPU</t>
  </si>
  <si>
    <t>RAM</t>
  </si>
  <si>
    <t>33753 MB</t>
  </si>
  <si>
    <t>OS</t>
  </si>
  <si>
    <t>Windows-11-10.0.26200-SP0</t>
  </si>
  <si>
    <r>
      <rPr>
        <sz val="409"/>
        <color rgb="FF000000"/>
        <rFont val="Arial"/>
        <family val="2"/>
      </rPr>
      <t xml:space="preserve">CUDA </t>
    </r>
    <r>
      <rPr>
        <sz val="409"/>
        <color rgb="FF000000"/>
        <rFont val="Noto Sans CJK SC"/>
        <family val="2"/>
      </rPr>
      <t>버전</t>
    </r>
  </si>
  <si>
    <t>12.8</t>
  </si>
  <si>
    <r>
      <rPr>
        <sz val="409"/>
        <color rgb="FF000000"/>
        <rFont val="Arial"/>
        <family val="2"/>
      </rPr>
      <t xml:space="preserve">PyTorch </t>
    </r>
    <r>
      <rPr>
        <sz val="409"/>
        <color rgb="FF000000"/>
        <rFont val="Noto Sans CJK SC"/>
        <family val="2"/>
      </rPr>
      <t>버전</t>
    </r>
  </si>
  <si>
    <t>2.11.0+cu128</t>
  </si>
  <si>
    <t>학습 GPU 0 / 추론 CPU, FP32, 1 thread</t>
  </si>
  <si>
    <t>재현성</t>
  </si>
  <si>
    <t>랜덤 시드</t>
  </si>
  <si>
    <t>학습 seed=42, 평가 seed=0</t>
  </si>
  <si>
    <r>
      <rPr>
        <sz val="409"/>
        <color rgb="FF000000"/>
        <rFont val="Arial"/>
        <family val="2"/>
      </rPr>
      <t xml:space="preserve">FLOPs </t>
    </r>
    <r>
      <rPr>
        <sz val="409"/>
        <color rgb="FF000000"/>
        <rFont val="Noto Sans CJK SC"/>
        <family val="2"/>
      </rPr>
      <t>정의</t>
    </r>
  </si>
  <si>
    <t>MACs x 2</t>
  </si>
  <si>
    <r>
      <rPr>
        <i/>
        <sz val="409"/>
        <color rgb="FF595959"/>
        <rFont val="Noto Sans CJK SC"/>
        <family val="2"/>
      </rPr>
      <t>팀 전체 통일</t>
    </r>
    <r>
      <rPr>
        <i/>
        <sz val="409"/>
        <color rgb="FF595959"/>
        <rFont val="Arial"/>
        <family val="2"/>
      </rPr>
      <t xml:space="preserve">. </t>
    </r>
    <r>
      <rPr>
        <i/>
        <sz val="409"/>
        <color rgb="FF595959"/>
        <rFont val="Noto Sans CJK SC"/>
        <family val="2"/>
      </rPr>
      <t xml:space="preserve">안 맞추면 정확히 </t>
    </r>
    <r>
      <rPr>
        <i/>
        <sz val="409"/>
        <color rgb="FF595959"/>
        <rFont val="Arial"/>
        <family val="2"/>
      </rPr>
      <t>2</t>
    </r>
    <r>
      <rPr>
        <i/>
        <sz val="409"/>
        <color rgb="FF595959"/>
        <rFont val="Noto Sans CJK SC"/>
        <family val="2"/>
      </rPr>
      <t>배 차이남</t>
    </r>
  </si>
  <si>
    <r>
      <rPr>
        <sz val="409"/>
        <color rgb="FF000000"/>
        <rFont val="Arial"/>
        <family val="2"/>
      </rPr>
      <t xml:space="preserve">Git </t>
    </r>
    <r>
      <rPr>
        <sz val="409"/>
        <color rgb="FF000000"/>
        <rFont val="Noto Sans CJK SC"/>
        <family val="2"/>
      </rPr>
      <t>저장소</t>
    </r>
  </si>
  <si>
    <r>
      <rPr>
        <sz val="409"/>
        <color rgb="FF000000"/>
        <rFont val="Arial"/>
        <family val="2"/>
      </rPr>
      <t xml:space="preserve">train/val </t>
    </r>
    <r>
      <rPr>
        <sz val="409"/>
        <color rgb="FF000000"/>
        <rFont val="Noto Sans CJK SC"/>
        <family val="2"/>
      </rPr>
      <t>파일목록 커밋</t>
    </r>
  </si>
  <si>
    <t>파일 목록·해시는 실험 폴더에 저장; Git 커밋은 별도</t>
  </si>
  <si>
    <t>실험 로그</t>
  </si>
  <si>
    <r>
      <rPr>
        <i/>
        <sz val="9"/>
        <color rgb="FF595959"/>
        <rFont val="Noto Sans CJK SC"/>
        <family val="2"/>
      </rPr>
      <t xml:space="preserve">실험 </t>
    </r>
    <r>
      <rPr>
        <i/>
        <sz val="9"/>
        <color rgb="FF595959"/>
        <rFont val="Arial"/>
        <family val="2"/>
      </rPr>
      <t>1</t>
    </r>
    <r>
      <rPr>
        <i/>
        <sz val="9"/>
        <color rgb="FF595959"/>
        <rFont val="Noto Sans CJK SC"/>
        <family val="2"/>
      </rPr>
      <t xml:space="preserve">회 </t>
    </r>
    <r>
      <rPr>
        <i/>
        <sz val="9"/>
        <color rgb="FF595959"/>
        <rFont val="Arial"/>
        <family val="2"/>
      </rPr>
      <t>= 1</t>
    </r>
    <r>
      <rPr>
        <i/>
        <sz val="9"/>
        <color rgb="FF595959"/>
        <rFont val="Noto Sans CJK SC"/>
        <family val="2"/>
      </rPr>
      <t>행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파란 글씨 칸만 입력하고 회색 칸</t>
    </r>
    <r>
      <rPr>
        <i/>
        <sz val="9"/>
        <color rgb="FF595959"/>
        <rFont val="Arial"/>
        <family val="2"/>
      </rPr>
      <t>(Moderate AP40, Drop Rate, FPS)</t>
    </r>
    <r>
      <rPr>
        <i/>
        <sz val="9"/>
        <color rgb="FF595959"/>
        <rFont val="Noto Sans CJK SC"/>
        <family val="2"/>
      </rPr>
      <t>은 자동 계산된다</t>
    </r>
    <r>
      <rPr>
        <i/>
        <sz val="9"/>
        <color rgb="FF595959"/>
        <rFont val="Arial"/>
        <family val="2"/>
      </rPr>
      <t>.  AP40</t>
    </r>
    <r>
      <rPr>
        <i/>
        <sz val="9"/>
        <color rgb="FF595959"/>
        <rFont val="Noto Sans CJK SC"/>
        <family val="2"/>
      </rPr>
      <t xml:space="preserve">은 </t>
    </r>
    <r>
      <rPr>
        <i/>
        <sz val="9"/>
        <color rgb="FF595959"/>
        <rFont val="Arial"/>
        <family val="2"/>
      </rPr>
      <t xml:space="preserve">KITTI </t>
    </r>
    <r>
      <rPr>
        <i/>
        <sz val="9"/>
        <color rgb="FF595959"/>
        <rFont val="Noto Sans CJK SC"/>
        <family val="2"/>
      </rPr>
      <t xml:space="preserve">공식 평가 코드의 </t>
    </r>
    <r>
      <rPr>
        <i/>
        <sz val="9"/>
        <color rgb="FF595959"/>
        <rFont val="Arial"/>
        <family val="2"/>
      </rPr>
      <t xml:space="preserve">0~100 </t>
    </r>
    <r>
      <rPr>
        <i/>
        <sz val="9"/>
        <color rgb="FF595959"/>
        <rFont val="Noto Sans CJK SC"/>
        <family val="2"/>
      </rPr>
      <t>스케일 그대로 입력한다</t>
    </r>
    <r>
      <rPr>
        <i/>
        <sz val="9"/>
        <color rgb="FF595959"/>
        <rFont val="Arial"/>
        <family val="2"/>
      </rPr>
      <t>.</t>
    </r>
  </si>
  <si>
    <r>
      <rPr>
        <b/>
        <sz val="10"/>
        <color rgb="FFFFFFFF"/>
        <rFont val="Noto Sans CJK SC"/>
        <family val="2"/>
      </rPr>
      <t>실험</t>
    </r>
    <r>
      <rPr>
        <b/>
        <sz val="10"/>
        <color rgb="FFFFFFFF"/>
        <rFont val="Arial"/>
        <family val="2"/>
      </rPr>
      <t>ID</t>
    </r>
  </si>
  <si>
    <t>날짜</t>
  </si>
  <si>
    <t>담당자</t>
  </si>
  <si>
    <r>
      <rPr>
        <b/>
        <sz val="10"/>
        <color rgb="FFFFFFFF"/>
        <rFont val="Noto Sans CJK SC"/>
        <family val="2"/>
      </rPr>
      <t xml:space="preserve">변경 내용 </t>
    </r>
    <r>
      <rPr>
        <b/>
        <sz val="10"/>
        <color rgb="FFFFFFFF"/>
        <rFont val="Arial"/>
        <family val="2"/>
      </rPr>
      <t>(</t>
    </r>
    <r>
      <rPr>
        <b/>
        <sz val="10"/>
        <color rgb="FFFFFFFF"/>
        <rFont val="Noto Sans CJK SC"/>
        <family val="2"/>
      </rPr>
      <t>한 번에 하나</t>
    </r>
    <r>
      <rPr>
        <b/>
        <sz val="10"/>
        <color rgb="FFFFFFFF"/>
        <rFont val="Arial"/>
        <family val="2"/>
      </rPr>
      <t>)</t>
    </r>
  </si>
  <si>
    <r>
      <rPr>
        <b/>
        <sz val="10"/>
        <color rgb="FFFFFFFF"/>
        <rFont val="Noto Sans CJK SC"/>
        <family val="2"/>
      </rPr>
      <t>기준 실험</t>
    </r>
    <r>
      <rPr>
        <b/>
        <sz val="10"/>
        <color rgb="FFFFFFFF"/>
        <rFont val="Arial"/>
        <family val="2"/>
      </rPr>
      <t>ID</t>
    </r>
  </si>
  <si>
    <t>가설</t>
  </si>
  <si>
    <t>모델</t>
  </si>
  <si>
    <r>
      <rPr>
        <b/>
        <sz val="10"/>
        <color rgb="FFFFFFFF"/>
        <rFont val="Noto Sans CJK SC"/>
        <family val="2"/>
      </rPr>
      <t xml:space="preserve">입력 </t>
    </r>
    <r>
      <rPr>
        <b/>
        <sz val="10"/>
        <color rgb="FFFFFFFF"/>
        <rFont val="Arial"/>
        <family val="2"/>
      </rPr>
      <t>W</t>
    </r>
  </si>
  <si>
    <r>
      <rPr>
        <b/>
        <sz val="10"/>
        <color rgb="FFFFFFFF"/>
        <rFont val="Noto Sans CJK SC"/>
        <family val="2"/>
      </rPr>
      <t xml:space="preserve">입력 </t>
    </r>
    <r>
      <rPr>
        <b/>
        <sz val="10"/>
        <color rgb="FFFFFFFF"/>
        <rFont val="Arial"/>
        <family val="2"/>
      </rPr>
      <t>H</t>
    </r>
  </si>
  <si>
    <t>정밀도</t>
  </si>
  <si>
    <t>Epoch</t>
  </si>
  <si>
    <t>Params (M)</t>
  </si>
  <si>
    <t>FLOPs (G)</t>
  </si>
  <si>
    <r>
      <rPr>
        <b/>
        <sz val="10"/>
        <color rgb="FFFFFFFF"/>
        <rFont val="Noto Sans CJK SC"/>
        <family val="2"/>
      </rPr>
      <t xml:space="preserve">모델크기 </t>
    </r>
    <r>
      <rPr>
        <b/>
        <sz val="10"/>
        <color rgb="FFFFFFFF"/>
        <rFont val="Arial"/>
        <family val="2"/>
      </rPr>
      <t>(MB)</t>
    </r>
  </si>
  <si>
    <t>AP40 Car</t>
  </si>
  <si>
    <t>AP40 Ped</t>
  </si>
  <si>
    <t>AP40 Cyc</t>
  </si>
  <si>
    <t>AP40 Moderate</t>
  </si>
  <si>
    <t>Drop Rate (%)</t>
  </si>
  <si>
    <t>Latency p50 (ms)</t>
  </si>
  <si>
    <t>Latency p95 (ms)</t>
  </si>
  <si>
    <t>E2E (ms)</t>
  </si>
  <si>
    <t>FPS</t>
  </si>
  <si>
    <t>Memory (MB)</t>
  </si>
  <si>
    <r>
      <rPr>
        <b/>
        <sz val="10"/>
        <color rgb="FFFFFFFF"/>
        <rFont val="Noto Sans CJK SC"/>
        <family val="2"/>
      </rPr>
      <t xml:space="preserve">측정 </t>
    </r>
    <r>
      <rPr>
        <b/>
        <sz val="10"/>
        <color rgb="FFFFFFFF"/>
        <rFont val="Arial"/>
        <family val="2"/>
      </rPr>
      <t>PC</t>
    </r>
  </si>
  <si>
    <t>결과 해석</t>
  </si>
  <si>
    <t>다음 실험</t>
  </si>
  <si>
    <t>상태</t>
  </si>
  <si>
    <t>exp001</t>
  </si>
  <si>
    <t>2026-09-22</t>
  </si>
  <si>
    <t>김수완</t>
  </si>
  <si>
    <r>
      <rPr>
        <sz val="10"/>
        <color rgb="FF0000FF"/>
        <rFont val="Arial"/>
        <family val="2"/>
      </rPr>
      <t>(</t>
    </r>
    <r>
      <rPr>
        <sz val="10"/>
        <color rgb="FF0000FF"/>
        <rFont val="Noto Sans CJK SC"/>
        <family val="2"/>
      </rPr>
      <t>없음</t>
    </r>
    <r>
      <rPr>
        <sz val="10"/>
        <color rgb="FF0000FF"/>
        <rFont val="Arial"/>
        <family val="2"/>
      </rPr>
      <t xml:space="preserve">) </t>
    </r>
    <r>
      <rPr>
        <sz val="10"/>
        <color rgb="FF0000FF"/>
        <rFont val="Noto Sans CJK SC"/>
        <family val="2"/>
      </rPr>
      <t xml:space="preserve">손대지 않은 원본 — </t>
    </r>
    <r>
      <rPr>
        <sz val="10"/>
        <color rgb="FF0000FF"/>
        <rFont val="Arial"/>
        <family val="2"/>
      </rPr>
      <t>Baseline</t>
    </r>
  </si>
  <si>
    <r>
      <rPr>
        <sz val="10"/>
        <color rgb="FF0000FF"/>
        <rFont val="Noto Sans CJK SC"/>
        <family val="2"/>
      </rPr>
      <t>기준점 확보</t>
    </r>
    <r>
      <rPr>
        <sz val="10"/>
        <color rgb="FF0000FF"/>
        <rFont val="Arial"/>
        <family val="2"/>
      </rPr>
      <t xml:space="preserve">. </t>
    </r>
    <r>
      <rPr>
        <sz val="10"/>
        <color rgb="FF0000FF"/>
        <rFont val="Noto Sans CJK SC"/>
        <family val="2"/>
      </rPr>
      <t>이후 모든 실험은 이 행과 비교한다</t>
    </r>
    <r>
      <rPr>
        <sz val="10"/>
        <color rgb="FF0000FF"/>
        <rFont val="Arial"/>
        <family val="2"/>
      </rPr>
      <t>.</t>
    </r>
  </si>
  <si>
    <t>YOLOv8n</t>
  </si>
  <si>
    <t>FP32</t>
  </si>
  <si>
    <t>PC-A</t>
  </si>
  <si>
    <r>
      <rPr>
        <sz val="10"/>
        <color rgb="FF0000FF"/>
        <rFont val="Noto Sans CJK SC"/>
        <family val="2"/>
      </rPr>
      <t>예시 행입니다</t>
    </r>
    <r>
      <rPr>
        <sz val="10"/>
        <color rgb="FF0000FF"/>
        <rFont val="Arial"/>
        <family val="2"/>
      </rPr>
      <t xml:space="preserve">. </t>
    </r>
    <r>
      <rPr>
        <sz val="10"/>
        <color rgb="FF0000FF"/>
        <rFont val="Noto Sans CJK SC"/>
        <family val="2"/>
      </rPr>
      <t>실제 실험 시작 시 이 행을 지우고 사용하세요</t>
    </r>
    <r>
      <rPr>
        <sz val="10"/>
        <color rgb="FF0000FF"/>
        <rFont val="Arial"/>
        <family val="2"/>
      </rPr>
      <t>.</t>
    </r>
  </si>
  <si>
    <r>
      <rPr>
        <sz val="10"/>
        <color rgb="FF0000FF"/>
        <rFont val="Arial"/>
        <family val="2"/>
      </rPr>
      <t xml:space="preserve">P5 </t>
    </r>
    <r>
      <rPr>
        <sz val="10"/>
        <color rgb="FF0000FF"/>
        <rFont val="Noto Sans CJK SC"/>
        <family val="2"/>
      </rPr>
      <t>제거 후 속도</t>
    </r>
    <r>
      <rPr>
        <sz val="10"/>
        <color rgb="FF0000FF"/>
        <rFont val="Arial"/>
        <family val="2"/>
      </rPr>
      <t xml:space="preserve">/AP </t>
    </r>
    <r>
      <rPr>
        <sz val="10"/>
        <color rgb="FF0000FF"/>
        <rFont val="Noto Sans CJK SC"/>
        <family val="2"/>
      </rPr>
      <t>변화 측정</t>
    </r>
  </si>
  <si>
    <t>예시</t>
  </si>
  <si>
    <t>nano_quant01_q_fp32</t>
  </si>
  <si>
    <t>양승환</t>
  </si>
  <si>
    <t>Nano 양자화 Baseline</t>
  </si>
  <si>
    <t>양자화 전후 AP40 및 실행 비용 비교</t>
  </si>
  <si>
    <t>yolov8n_baseline.yaml</t>
  </si>
  <si>
    <t>ONNX Runtime 1.30.0; ONNX 파일 크기; 원본 구조 Params/FLOPs; CPU RSS; 주최 대조 전</t>
  </si>
  <si>
    <t>평가 완료</t>
  </si>
  <si>
    <t>nano_quant01_q_int8</t>
  </si>
  <si>
    <t>INT8_QDQ</t>
  </si>
  <si>
    <t>medium_quant01_q_fp32</t>
  </si>
  <si>
    <t>Medium 양자화 Baseline</t>
  </si>
  <si>
    <t>yolov8m_baseline.yaml</t>
  </si>
  <si>
    <t>medium_quant01_q_int8</t>
  </si>
  <si>
    <t>보고서용 비교표</t>
  </si>
  <si>
    <r>
      <rPr>
        <i/>
        <sz val="9"/>
        <color rgb="FF595959"/>
        <rFont val="Noto Sans CJK SC"/>
        <family val="2"/>
      </rPr>
      <t>아래 두 칸에 비교할 실험</t>
    </r>
    <r>
      <rPr>
        <i/>
        <sz val="9"/>
        <color rgb="FF595959"/>
        <rFont val="Arial"/>
        <family val="2"/>
      </rPr>
      <t>ID</t>
    </r>
    <r>
      <rPr>
        <i/>
        <sz val="9"/>
        <color rgb="FF595959"/>
        <rFont val="Noto Sans CJK SC"/>
        <family val="2"/>
      </rPr>
      <t>를 입력하면 실험로그에서 자동으로 값을 가져온다</t>
    </r>
    <r>
      <rPr>
        <i/>
        <sz val="9"/>
        <color rgb="FF595959"/>
        <rFont val="Arial"/>
        <family val="2"/>
      </rPr>
      <t>.</t>
    </r>
  </si>
  <si>
    <r>
      <rPr>
        <b/>
        <sz val="10"/>
        <rFont val="Noto Sans CJK SC"/>
        <family val="2"/>
      </rPr>
      <t>기준 실험</t>
    </r>
    <r>
      <rPr>
        <b/>
        <sz val="10"/>
        <rFont val="Arial"/>
        <family val="2"/>
      </rPr>
      <t>ID (Baseline)</t>
    </r>
  </si>
  <si>
    <r>
      <rPr>
        <b/>
        <sz val="10"/>
        <rFont val="Noto Sans CJK SC"/>
        <family val="2"/>
      </rPr>
      <t>비교 실험</t>
    </r>
    <r>
      <rPr>
        <b/>
        <sz val="10"/>
        <rFont val="Arial"/>
        <family val="2"/>
      </rPr>
      <t>ID (</t>
    </r>
    <r>
      <rPr>
        <b/>
        <sz val="10"/>
        <rFont val="Noto Sans CJK SC"/>
        <family val="2"/>
      </rPr>
      <t>최적화</t>
    </r>
    <r>
      <rPr>
        <b/>
        <sz val="10"/>
        <rFont val="Arial"/>
        <family val="2"/>
      </rPr>
      <t>)</t>
    </r>
  </si>
  <si>
    <t>지표</t>
  </si>
  <si>
    <t>Baseline</t>
  </si>
  <si>
    <t>최적화</t>
  </si>
  <si>
    <t>변화</t>
  </si>
  <si>
    <t>판단 기준</t>
  </si>
  <si>
    <r>
      <rPr>
        <i/>
        <sz val="9"/>
        <color rgb="FF595959"/>
        <rFont val="Noto Sans CJK SC"/>
        <family val="2"/>
      </rPr>
      <t>공식 주지표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손실은 최소화</t>
    </r>
  </si>
  <si>
    <t>클래스별 손실 확인용</t>
  </si>
  <si>
    <t>AP40 Pedestrian</t>
  </si>
  <si>
    <r>
      <rPr>
        <i/>
        <sz val="9"/>
        <color rgb="FF595959"/>
        <rFont val="Noto Sans CJK SC"/>
        <family val="2"/>
      </rPr>
      <t>소형 객체</t>
    </r>
    <r>
      <rPr>
        <i/>
        <sz val="9"/>
        <color rgb="FF595959"/>
        <rFont val="Arial"/>
        <family val="2"/>
      </rPr>
      <t xml:space="preserve">. </t>
    </r>
    <r>
      <rPr>
        <i/>
        <sz val="9"/>
        <color rgb="FF595959"/>
        <rFont val="Noto Sans CJK SC"/>
        <family val="2"/>
      </rPr>
      <t>양자화에 가장 취약</t>
    </r>
  </si>
  <si>
    <t>AP40 Cyclist</t>
  </si>
  <si>
    <t>표본 수가 적어 변동 큼</t>
  </si>
  <si>
    <t>작을수록 유리</t>
  </si>
  <si>
    <r>
      <rPr>
        <i/>
        <sz val="9"/>
        <color rgb="FF595959"/>
        <rFont val="Arial"/>
        <family val="2"/>
      </rPr>
      <t xml:space="preserve">MACs x 2 </t>
    </r>
    <r>
      <rPr>
        <i/>
        <sz val="9"/>
        <color rgb="FF595959"/>
        <rFont val="Noto Sans CJK SC"/>
        <family val="2"/>
      </rPr>
      <t>기준</t>
    </r>
  </si>
  <si>
    <r>
      <rPr>
        <b/>
        <sz val="10"/>
        <rFont val="Noto Sans CJK SC"/>
        <family val="2"/>
      </rPr>
      <t xml:space="preserve">모델크기 </t>
    </r>
    <r>
      <rPr>
        <b/>
        <sz val="10"/>
        <rFont val="Arial"/>
        <family val="2"/>
      </rPr>
      <t>(MB)</t>
    </r>
  </si>
  <si>
    <t>같은 포맷끼리만 비교</t>
  </si>
  <si>
    <t>낮을수록 유리</t>
  </si>
  <si>
    <t>안정성 지표</t>
  </si>
  <si>
    <t>1000 / p50</t>
  </si>
  <si>
    <r>
      <rPr>
        <i/>
        <sz val="9"/>
        <color rgb="FF595959"/>
        <rFont val="Arial"/>
        <family val="2"/>
      </rPr>
      <t>※ '</t>
    </r>
    <r>
      <rPr>
        <i/>
        <sz val="9"/>
        <color rgb="FF595959"/>
        <rFont val="Noto Sans CJK SC"/>
        <family val="2"/>
      </rPr>
      <t>변화</t>
    </r>
    <r>
      <rPr>
        <i/>
        <sz val="9"/>
        <color rgb="FF595959"/>
        <rFont val="Arial"/>
        <family val="2"/>
      </rPr>
      <t xml:space="preserve">' </t>
    </r>
    <r>
      <rPr>
        <i/>
        <sz val="9"/>
        <color rgb="FF595959"/>
        <rFont val="Noto Sans CJK SC"/>
        <family val="2"/>
      </rPr>
      <t xml:space="preserve">열은 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Noto Sans CJK SC"/>
        <family val="2"/>
      </rPr>
      <t xml:space="preserve">최적화 </t>
    </r>
    <r>
      <rPr>
        <i/>
        <sz val="9"/>
        <color rgb="FF595959"/>
        <rFont val="Arial"/>
        <family val="2"/>
      </rPr>
      <t>- Baseline) / Baseline x 100 (%). AP40</t>
    </r>
    <r>
      <rPr>
        <i/>
        <sz val="9"/>
        <color rgb="FF595959"/>
        <rFont val="Noto Sans CJK SC"/>
        <family val="2"/>
      </rPr>
      <t>은 양수가 개선</t>
    </r>
    <r>
      <rPr>
        <i/>
        <sz val="9"/>
        <color rgb="FF595959"/>
        <rFont val="Arial"/>
        <family val="2"/>
      </rPr>
      <t>, Latency·FLOPs·Params</t>
    </r>
    <r>
      <rPr>
        <i/>
        <sz val="9"/>
        <color rgb="FF595959"/>
        <rFont val="Noto Sans CJK SC"/>
        <family val="2"/>
      </rPr>
      <t>는 음수가 개선이다</t>
    </r>
    <r>
      <rPr>
        <i/>
        <sz val="9"/>
        <color rgb="FF595959"/>
        <rFont val="Arial"/>
        <family val="2"/>
      </rPr>
      <t>.</t>
    </r>
  </si>
  <si>
    <t>동일 체크포인트의 FP32 / INT8 비교</t>
  </si>
  <si>
    <t>CPU ONNX Runtime, 동일 1,000장. 유지율=INT8/FP32×100, Drop=(FP32−INT8)/FP32×100. 주최 평가기 대조 전.</t>
  </si>
  <si>
    <t>파라미터·FLOPs는 원본 FP32 구조 기준이며 INT8 비트 연산량이 아닙니다. FP32 AP40=0이면 비율은 정의되지 않습니다.</t>
  </si>
  <si>
    <t>비교 ID</t>
  </si>
  <si>
    <t>FP32 평가 ID</t>
  </si>
  <si>
    <t>INT8 평가 ID</t>
  </si>
  <si>
    <t>FP32 mAP40</t>
  </si>
  <si>
    <t>INT8 mAP40</t>
  </si>
  <si>
    <t>유지율 (%)</t>
  </si>
  <si>
    <t>Car ΔAP40 (pp)</t>
  </si>
  <si>
    <t>Pedestrian ΔAP40 (pp)</t>
  </si>
  <si>
    <t>Cyclist ΔAP40 (pp)</t>
  </si>
  <si>
    <t>FP32 p50 (ms)</t>
  </si>
  <si>
    <t>INT8 p50 (ms)</t>
  </si>
  <si>
    <t>Latency 감소 (%)</t>
  </si>
  <si>
    <t>FP32 RSS (MB)</t>
  </si>
  <si>
    <t>INT8 RSS (MB)</t>
  </si>
  <si>
    <t>RSS 감소 (%)</t>
  </si>
  <si>
    <t>FP32 Params (M)</t>
  </si>
  <si>
    <t>INT8 Params (M)</t>
  </si>
  <si>
    <t>FP32 GFLOPs</t>
  </si>
  <si>
    <t>INT8 GFLOPs</t>
  </si>
  <si>
    <t>FP32 ONNX (MB)</t>
  </si>
  <si>
    <t>INT8 ONNX (MB)</t>
  </si>
  <si>
    <t>파일 감소 (%)</t>
  </si>
  <si>
    <t>FP32 p95 (ms)</t>
  </si>
  <si>
    <t>INT8 p95 (ms)</t>
  </si>
  <si>
    <t>측정 PC</t>
  </si>
  <si>
    <t>변환 SHA256</t>
  </si>
  <si>
    <t>측정 조건</t>
  </si>
  <si>
    <t>Δ Params (M)</t>
  </si>
  <si>
    <t>Δ GFLOPs</t>
  </si>
  <si>
    <t>nano_quant01_q</t>
  </si>
  <si>
    <t>6e23788277808c455622a01f7e8eff6e3503184e682165ce5c117693b298bb43</t>
  </si>
  <si>
    <t>{"protocol":{"name":"KITTI_2D_Moderate_AP40","classes":["Car","Pedestrian","Cyclist"],"iou":{"Car":0.7,"Pedestrian":0.5,"Cyclist":0.5},"gt_height":"&gt;25","detection_height":"&gt;=25","max_occlusion":1,"max_truncation":0.3,"ap":"KITTI 41 slots; interpolated precision slots 1..40 averaged; percent","reference":"https://www.cvlibs.net/datasets/kitti/eval_object.php?obj_benchmark=2d"},"data_sha256":"c91bef780f3c5f703ac4ac5123bb431d1482e4aebeea1f57e581b8837d8814f4","count":1000,"imgsz":640,"device":"cpu","threads":1,"conf":0.001,"iou":0.7,"max_det":300,"warmup":50,"benchmark_repetitions":500,"rect":false,"batch":1,"seed":0,"host":"DESKTOP-B29DLEA","platform":"Windows-11-10.0.26200-SP0","processor":"Intel64 Family 6 Model 198 Stepping 2, GenuineIntel","ram_mb":33752.997888,"gpu":"NVIDIA GeForce RTX 5070 Ti Laptop GPU","cuda":"12.8","torch":"2.11.0+cu128","ultralytics":"8.4.158","numpy":"2.5.3","opencv":"5.0.0","evaluator_sha256":"f7b9b203c37a1e272b561f2c5c41fc25f9315b75a20c4b977334c5318bb0454b","backend":"onnxruntime_cpu","onnxruntime":"1.30.0","deployment_sha256":"c79b249021d0ba62ade613aa63ef3dde55bc5a34c3a50157f38092d40212b720"}</t>
  </si>
  <si>
    <t>medium_quant01_q</t>
  </si>
  <si>
    <t>03da0102db84443599ad9639110900b03519dfe1a830f8d8fc71387908b34878</t>
  </si>
  <si>
    <t>yolov8n_baseline_quant01_q_fp32</t>
  </si>
  <si>
    <t>yolov8n_baseline 양자화 Baseline</t>
  </si>
  <si>
    <t>yolov8n_baseline_quant01_q_int8</t>
  </si>
  <si>
    <t>yolov8s_baseline_quant01_q_fp32</t>
  </si>
  <si>
    <t>yolov8s_baseline 양자화 Baseline</t>
  </si>
  <si>
    <t>yolov8s_baseline.yaml</t>
  </si>
  <si>
    <t>yolov8s_baseline_quant01_q_int8</t>
  </si>
  <si>
    <t>yolov8n_baseline_quant01_q</t>
  </si>
  <si>
    <t>c2440cf3cb34715a236b2da803c7db9e916fd4d6680751a78aac1e358549d6de</t>
  </si>
  <si>
    <t>yolov8s_baseline_quant01_q</t>
  </si>
  <si>
    <t>2268d618dd3670668b18d40a8e4261d1a1d7e7b63ca004bd681f3af5531a7a5e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</si>
</sst>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0.0"/>
    <numFmt numFmtId="177" formatCode="yyyy\-mm\-dd"/>
  </numFmts>
  <fonts count="35">
    <font>
      <sz val="11"/>
      <color theme="1"/>
      <name val="Calibri"/>
    </font>
    <font>
      <sz val="10"/>
      <name val="Arial"/>
    </font>
    <font>
      <b/>
      <sz val="14"/>
      <name val="Noto Sans CJK SC"/>
    </font>
    <font>
      <b/>
      <sz val="14"/>
      <name val="Arial"/>
      <family val="2"/>
    </font>
    <font>
      <i/>
      <sz val="9"/>
      <color rgb="FF595959"/>
      <name val="Arial"/>
      <family val="2"/>
    </font>
    <font>
      <i/>
      <sz val="9"/>
      <color rgb="FF595959"/>
      <name val="Noto Sans CJK SC"/>
    </font>
    <font>
      <b/>
      <sz val="11"/>
      <color rgb="FF1F3864"/>
      <name val="Noto Sans CJK SC"/>
    </font>
    <font>
      <b/>
      <sz val="10"/>
      <name val="Noto Sans CJK SC"/>
    </font>
    <font>
      <sz val="10"/>
      <name val="Noto Sans CJK SC"/>
    </font>
    <font>
      <sz val="10"/>
      <name val="Arial"/>
      <family val="2"/>
    </font>
    <font>
      <b/>
      <sz val="11"/>
      <color rgb="FF1F3864"/>
      <name val="Arial"/>
      <family val="2"/>
    </font>
    <font>
      <b/>
      <sz val="10"/>
      <name val="Arial"/>
      <family val="2"/>
    </font>
    <font>
      <b/>
      <sz val="10"/>
      <color rgb="FFFFFFFF"/>
      <name val="Noto Sans CJK SC"/>
    </font>
    <font>
      <sz val="10"/>
      <color rgb="FF0000FF"/>
      <name val="Arial"/>
      <family val="2"/>
    </font>
    <font>
      <sz val="10"/>
      <color rgb="FF0000FF"/>
      <name val="Noto Sans CJK SC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409"/>
      <color rgb="FF0000FF"/>
      <name val="Arial"/>
      <family val="2"/>
    </font>
    <font>
      <b/>
      <sz val="409"/>
      <color rgb="FFFFFFFF"/>
      <name val="Arial"/>
      <family val="2"/>
    </font>
    <font>
      <sz val="409"/>
      <color rgb="FF000000"/>
      <name val="Arial"/>
      <family val="2"/>
    </font>
    <font>
      <i/>
      <sz val="409"/>
      <color rgb="FF595959"/>
      <name val="Arial"/>
      <family val="2"/>
    </font>
    <font>
      <sz val="8"/>
      <name val="돋움"/>
      <family val="3"/>
      <charset val="129"/>
    </font>
    <font>
      <b/>
      <sz val="14"/>
      <name val="Noto Sans CJK SC"/>
      <family val="2"/>
    </font>
    <font>
      <i/>
      <sz val="9"/>
      <color rgb="FF595959"/>
      <name val="Noto Sans CJK SC"/>
      <family val="2"/>
    </font>
    <font>
      <sz val="10"/>
      <name val="Noto Sans CJK SC"/>
      <family val="2"/>
    </font>
    <font>
      <b/>
      <sz val="11"/>
      <color rgb="FF1F3864"/>
      <name val="Noto Sans CJK SC"/>
      <family val="2"/>
    </font>
    <font>
      <b/>
      <sz val="10"/>
      <name val="Noto Sans CJK SC"/>
      <family val="2"/>
    </font>
    <font>
      <sz val="10"/>
      <color rgb="FF0000FF"/>
      <name val="Noto Sans CJK SC"/>
      <family val="2"/>
    </font>
    <font>
      <sz val="409"/>
      <color rgb="FF0000FF"/>
      <name val="Noto Sans CJK SC"/>
      <family val="2"/>
    </font>
    <font>
      <b/>
      <sz val="409"/>
      <color rgb="FFFFFFFF"/>
      <name val="Noto Sans CJK SC"/>
      <family val="2"/>
    </font>
    <font>
      <sz val="409"/>
      <color rgb="FF000000"/>
      <name val="Noto Sans CJK SC"/>
      <family val="2"/>
    </font>
    <font>
      <i/>
      <sz val="409"/>
      <color rgb="FF595959"/>
      <name val="Noto Sans CJK SC"/>
      <family val="2"/>
    </font>
    <font>
      <b/>
      <sz val="10"/>
      <color rgb="FFFFFF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EDEDED"/>
      </patternFill>
    </fill>
    <fill>
      <patternFill patternType="solid">
        <fgColor rgb="FF20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/>
    <xf numFmtId="43" fontId="1" fillId="0" borderId="0" applyBorder="0" applyAlignment="0" applyProtection="0"/>
    <xf numFmtId="41" fontId="1" fillId="0" borderId="0" applyBorder="0" applyAlignment="0" applyProtection="0"/>
    <xf numFmtId="44" fontId="1" fillId="0" borderId="0" applyBorder="0" applyAlignment="0" applyProtection="0"/>
    <xf numFmtId="42" fontId="1" fillId="0" borderId="0" applyBorder="0" applyAlignment="0" applyProtection="0"/>
    <xf numFmtId="9" fontId="1" fillId="0" borderId="0" applyBorder="0" applyAlignment="0" applyProtection="0"/>
    <xf numFmtId="0" fontId="18" fillId="0" borderId="0"/>
  </cellStyleXfs>
  <cellXfs count="37">
    <xf numFmtId="0" fontId="0" fillId="0" borderId="0" xfId="0"/>
    <xf numFmtId="0" fontId="2" fillId="0" borderId="0" xfId="6" applyFont="1"/>
    <xf numFmtId="0" fontId="4" fillId="0" borderId="0" xfId="6" applyFont="1"/>
    <xf numFmtId="0" fontId="6" fillId="0" borderId="0" xfId="6" applyFont="1"/>
    <xf numFmtId="0" fontId="7" fillId="0" borderId="0" xfId="6" applyFont="1"/>
    <xf numFmtId="0" fontId="8" fillId="0" borderId="0" xfId="6" applyFont="1" applyAlignment="1">
      <alignment vertical="top" wrapText="1"/>
    </xf>
    <xf numFmtId="0" fontId="11" fillId="0" borderId="0" xfId="6" applyFont="1"/>
    <xf numFmtId="0" fontId="9" fillId="0" borderId="0" xfId="6" applyFont="1" applyAlignment="1">
      <alignment vertical="top" wrapText="1"/>
    </xf>
    <xf numFmtId="0" fontId="10" fillId="0" borderId="0" xfId="6" applyFont="1"/>
    <xf numFmtId="0" fontId="5" fillId="0" borderId="0" xfId="6" applyFont="1"/>
    <xf numFmtId="0" fontId="12" fillId="2" borderId="0" xfId="6" applyFont="1" applyFill="1"/>
    <xf numFmtId="0" fontId="0" fillId="2" borderId="0" xfId="6" applyFont="1" applyFill="1"/>
    <xf numFmtId="0" fontId="8" fillId="0" borderId="0" xfId="6" applyFont="1"/>
    <xf numFmtId="0" fontId="13" fillId="3" borderId="1" xfId="6" applyFont="1" applyFill="1" applyBorder="1"/>
    <xf numFmtId="0" fontId="9" fillId="0" borderId="0" xfId="6" applyFont="1"/>
    <xf numFmtId="0" fontId="12" fillId="2" borderId="1" xfId="6" applyFont="1" applyFill="1" applyBorder="1" applyAlignment="1">
      <alignment horizontal="center" vertical="center" wrapText="1"/>
    </xf>
    <xf numFmtId="0" fontId="15" fillId="2" borderId="1" xfId="6" applyFont="1" applyFill="1" applyBorder="1" applyAlignment="1">
      <alignment horizontal="center" vertical="center" wrapText="1"/>
    </xf>
    <xf numFmtId="0" fontId="13" fillId="4" borderId="1" xfId="6" applyFont="1" applyFill="1" applyBorder="1" applyAlignment="1">
      <alignment vertical="center" wrapText="1"/>
    </xf>
    <xf numFmtId="0" fontId="14" fillId="4" borderId="1" xfId="6" applyFont="1" applyFill="1" applyBorder="1" applyAlignment="1">
      <alignment vertical="center" wrapText="1"/>
    </xf>
    <xf numFmtId="2" fontId="13" fillId="4" borderId="1" xfId="6" applyNumberFormat="1" applyFont="1" applyFill="1" applyBorder="1" applyAlignment="1">
      <alignment vertical="center" wrapText="1"/>
    </xf>
    <xf numFmtId="2" fontId="16" fillId="4" borderId="1" xfId="6" applyNumberFormat="1" applyFont="1" applyFill="1" applyBorder="1" applyAlignment="1">
      <alignment vertical="center" wrapText="1"/>
    </xf>
    <xf numFmtId="176" fontId="16" fillId="4" borderId="1" xfId="6" applyNumberFormat="1" applyFont="1" applyFill="1" applyBorder="1" applyAlignment="1">
      <alignment vertical="center" wrapText="1"/>
    </xf>
    <xf numFmtId="0" fontId="13" fillId="3" borderId="1" xfId="6" applyFont="1" applyFill="1" applyBorder="1" applyAlignment="1">
      <alignment vertical="center" wrapText="1"/>
    </xf>
    <xf numFmtId="2" fontId="13" fillId="3" borderId="1" xfId="6" applyNumberFormat="1" applyFont="1" applyFill="1" applyBorder="1" applyAlignment="1">
      <alignment vertical="center" wrapText="1"/>
    </xf>
    <xf numFmtId="2" fontId="16" fillId="5" borderId="1" xfId="6" applyNumberFormat="1" applyFont="1" applyFill="1" applyBorder="1" applyAlignment="1">
      <alignment vertical="center" wrapText="1"/>
    </xf>
    <xf numFmtId="176" fontId="16" fillId="5" borderId="1" xfId="6" applyNumberFormat="1" applyFont="1" applyFill="1" applyBorder="1" applyAlignment="1">
      <alignment vertical="center" wrapText="1"/>
    </xf>
    <xf numFmtId="0" fontId="12" fillId="2" borderId="1" xfId="6" applyFont="1" applyFill="1" applyBorder="1" applyAlignment="1">
      <alignment horizontal="center"/>
    </xf>
    <xf numFmtId="0" fontId="15" fillId="2" borderId="1" xfId="6" applyFont="1" applyFill="1" applyBorder="1" applyAlignment="1">
      <alignment horizontal="center"/>
    </xf>
    <xf numFmtId="0" fontId="11" fillId="0" borderId="1" xfId="6" applyFont="1" applyBorder="1"/>
    <xf numFmtId="2" fontId="16" fillId="5" borderId="1" xfId="6" applyNumberFormat="1" applyFont="1" applyFill="1" applyBorder="1"/>
    <xf numFmtId="0" fontId="5" fillId="0" borderId="1" xfId="6" applyFont="1" applyBorder="1"/>
    <xf numFmtId="0" fontId="4" fillId="0" borderId="1" xfId="6" applyFont="1" applyBorder="1"/>
    <xf numFmtId="0" fontId="7" fillId="0" borderId="1" xfId="6" applyFont="1" applyBorder="1"/>
    <xf numFmtId="0" fontId="17" fillId="6" borderId="0" xfId="6" applyFont="1" applyFill="1" applyAlignment="1">
      <alignment wrapText="1"/>
    </xf>
    <xf numFmtId="2" fontId="0" fillId="0" borderId="0" xfId="6" applyNumberFormat="1" applyFont="1"/>
    <xf numFmtId="177" fontId="13" fillId="3" borderId="1" xfId="6" applyNumberFormat="1" applyFont="1" applyFill="1" applyBorder="1" applyAlignment="1">
      <alignment vertical="center" wrapText="1"/>
    </xf>
    <xf numFmtId="177" fontId="13" fillId="3" borderId="1" xfId="0" applyNumberFormat="1" applyFont="1" applyFill="1" applyBorder="1" applyAlignment="1">
      <alignment vertical="center" wrapText="1"/>
    </xf>
  </cellXfs>
  <cellStyles count="7">
    <cellStyle name="Comma" xfId="1" xr:uid="{00000000-0005-0000-0000-000000000000}"/>
    <cellStyle name="Comma [0]" xfId="2" xr:uid="{00000000-0005-0000-0000-000001000000}"/>
    <cellStyle name="Currency" xfId="3" xr:uid="{00000000-0005-0000-0000-000002000000}"/>
    <cellStyle name="Currency [0]" xfId="4" xr:uid="{00000000-0005-0000-0000-000003000000}"/>
    <cellStyle name="Normal" xfId="6" xr:uid="{00000000-0005-0000-0000-000004000000}"/>
    <cellStyle name="Percent" xfId="5" xr:uid="{00000000-0005-0000-0000-000005000000}"/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32"/>
  <sheetViews>
    <sheetView workbookViewId="0"/>
  </sheetViews>
  <sheetFormatPr defaultColWidth="8.6328125" defaultRowHeight="14.5"/>
  <cols>
    <col min="1" max="1" width="26" customWidth="1"/>
    <col min="2" max="2" width="95" customWidth="1"/>
  </cols>
  <sheetData>
    <row r="1" spans="1:2" ht="18">
      <c r="A1" s="1" t="s">
        <v>0</v>
      </c>
    </row>
    <row r="2" spans="1:2">
      <c r="A2" s="2" t="s">
        <v>1</v>
      </c>
    </row>
    <row r="4" spans="1:2">
      <c r="A4" s="3" t="s">
        <v>2</v>
      </c>
    </row>
    <row r="5" spans="1:2">
      <c r="A5" s="4" t="s">
        <v>3</v>
      </c>
      <c r="B5" s="5" t="s">
        <v>4</v>
      </c>
    </row>
    <row r="6" spans="1:2">
      <c r="A6" s="4" t="s">
        <v>5</v>
      </c>
      <c r="B6" s="5" t="s">
        <v>6</v>
      </c>
    </row>
    <row r="7" spans="1:2">
      <c r="A7" s="4" t="s">
        <v>7</v>
      </c>
      <c r="B7" s="5" t="s">
        <v>8</v>
      </c>
    </row>
    <row r="9" spans="1:2">
      <c r="A9" s="3" t="s">
        <v>9</v>
      </c>
    </row>
    <row r="10" spans="1:2">
      <c r="A10" s="6" t="s">
        <v>10</v>
      </c>
      <c r="B10" s="5" t="s">
        <v>11</v>
      </c>
    </row>
    <row r="11" spans="1:2">
      <c r="A11" s="6" t="s">
        <v>12</v>
      </c>
      <c r="B11" s="5" t="s">
        <v>13</v>
      </c>
    </row>
    <row r="12" spans="1:2">
      <c r="A12" s="6" t="s">
        <v>14</v>
      </c>
      <c r="B12" s="5" t="s">
        <v>15</v>
      </c>
    </row>
    <row r="13" spans="1:2">
      <c r="A13" s="6" t="s">
        <v>16</v>
      </c>
      <c r="B13" s="7" t="s">
        <v>17</v>
      </c>
    </row>
    <row r="14" spans="1:2">
      <c r="A14" s="6" t="s">
        <v>18</v>
      </c>
      <c r="B14" s="5" t="s">
        <v>19</v>
      </c>
    </row>
    <row r="15" spans="1:2">
      <c r="A15" s="6" t="s">
        <v>20</v>
      </c>
      <c r="B15" s="5" t="s">
        <v>21</v>
      </c>
    </row>
    <row r="17" spans="1:2">
      <c r="A17" s="3" t="s">
        <v>22</v>
      </c>
    </row>
    <row r="18" spans="1:2">
      <c r="A18" s="4" t="s">
        <v>23</v>
      </c>
      <c r="B18" s="7" t="s">
        <v>24</v>
      </c>
    </row>
    <row r="19" spans="1:2">
      <c r="A19" s="4" t="s">
        <v>25</v>
      </c>
      <c r="B19" s="5" t="s">
        <v>26</v>
      </c>
    </row>
    <row r="20" spans="1:2">
      <c r="A20" s="4" t="s">
        <v>27</v>
      </c>
      <c r="B20" s="5" t="s">
        <v>28</v>
      </c>
    </row>
    <row r="21" spans="1:2">
      <c r="A21" s="4" t="s">
        <v>29</v>
      </c>
      <c r="B21" s="5" t="s">
        <v>30</v>
      </c>
    </row>
    <row r="22" spans="1:2">
      <c r="A22" s="4" t="s">
        <v>31</v>
      </c>
      <c r="B22" s="5" t="s">
        <v>32</v>
      </c>
    </row>
    <row r="24" spans="1:2">
      <c r="A24" s="8" t="s">
        <v>33</v>
      </c>
    </row>
    <row r="25" spans="1:2">
      <c r="A25" s="4" t="s">
        <v>34</v>
      </c>
      <c r="B25" s="7" t="s">
        <v>35</v>
      </c>
    </row>
    <row r="26" spans="1:2">
      <c r="A26" s="4" t="s">
        <v>36</v>
      </c>
      <c r="B26" s="7" t="s">
        <v>37</v>
      </c>
    </row>
    <row r="27" spans="1:2">
      <c r="A27" s="4" t="s">
        <v>38</v>
      </c>
      <c r="B27" s="7" t="s">
        <v>39</v>
      </c>
    </row>
    <row r="29" spans="1:2">
      <c r="A29" s="3" t="s">
        <v>40</v>
      </c>
    </row>
    <row r="30" spans="1:2">
      <c r="A30" s="4" t="s">
        <v>41</v>
      </c>
      <c r="B30" s="5" t="s">
        <v>42</v>
      </c>
    </row>
    <row r="31" spans="1:2">
      <c r="A31" s="4" t="s">
        <v>43</v>
      </c>
      <c r="B31" s="5" t="s">
        <v>44</v>
      </c>
    </row>
    <row r="32" spans="1:2">
      <c r="A32" s="4" t="s">
        <v>45</v>
      </c>
      <c r="B32" s="5" t="s">
        <v>46</v>
      </c>
    </row>
  </sheetData>
  <phoneticPr fontId="2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C42"/>
  <sheetViews>
    <sheetView workbookViewId="0"/>
  </sheetViews>
  <sheetFormatPr defaultColWidth="8.6328125" defaultRowHeight="14.5"/>
  <cols>
    <col min="1" max="1" width="26" customWidth="1"/>
    <col min="2" max="2" width="34" customWidth="1"/>
    <col min="3" max="3" width="60" customWidth="1"/>
  </cols>
  <sheetData>
    <row r="1" spans="1:3" ht="18">
      <c r="A1" s="1" t="s">
        <v>47</v>
      </c>
    </row>
    <row r="2" spans="1:3">
      <c r="A2" s="9" t="s">
        <v>48</v>
      </c>
    </row>
    <row r="4" spans="1:3">
      <c r="A4" s="10" t="s">
        <v>49</v>
      </c>
      <c r="B4" s="11"/>
      <c r="C4" s="11"/>
    </row>
    <row r="5" spans="1:3">
      <c r="A5" s="12" t="s">
        <v>50</v>
      </c>
      <c r="B5" s="13" t="s">
        <v>51</v>
      </c>
      <c r="C5" s="9" t="s">
        <v>52</v>
      </c>
    </row>
    <row r="6" spans="1:3">
      <c r="A6" s="12" t="s">
        <v>53</v>
      </c>
      <c r="B6" s="13" t="s">
        <v>54</v>
      </c>
      <c r="C6" s="2" t="s">
        <v>55</v>
      </c>
    </row>
    <row r="7" spans="1:3">
      <c r="A7" s="12" t="s">
        <v>56</v>
      </c>
      <c r="B7" s="13">
        <v>5833</v>
      </c>
      <c r="C7" s="2" t="s">
        <v>57</v>
      </c>
    </row>
    <row r="8" spans="1:3">
      <c r="A8" s="12" t="s">
        <v>58</v>
      </c>
      <c r="B8" s="13" t="s">
        <v>59</v>
      </c>
      <c r="C8" s="2" t="s">
        <v>60</v>
      </c>
    </row>
    <row r="9" spans="1:3">
      <c r="A9" s="12" t="s">
        <v>61</v>
      </c>
      <c r="B9" s="13" t="s">
        <v>62</v>
      </c>
      <c r="C9" s="9" t="s">
        <v>63</v>
      </c>
    </row>
    <row r="11" spans="1:3">
      <c r="A11" s="10" t="s">
        <v>64</v>
      </c>
      <c r="B11" s="11"/>
      <c r="C11" s="11"/>
    </row>
    <row r="12" spans="1:3">
      <c r="A12" s="12" t="s">
        <v>65</v>
      </c>
      <c r="B12" s="13" t="s">
        <v>66</v>
      </c>
      <c r="C12" s="9" t="s">
        <v>67</v>
      </c>
    </row>
    <row r="13" spans="1:3">
      <c r="A13" s="12" t="s">
        <v>68</v>
      </c>
      <c r="B13" s="13" t="s">
        <v>69</v>
      </c>
      <c r="C13" s="2" t="s">
        <v>70</v>
      </c>
    </row>
    <row r="14" spans="1:3">
      <c r="A14" s="12" t="s">
        <v>71</v>
      </c>
      <c r="B14" s="13">
        <v>114</v>
      </c>
      <c r="C14" s="2" t="s">
        <v>72</v>
      </c>
    </row>
    <row r="15" spans="1:3">
      <c r="A15" s="12" t="s">
        <v>73</v>
      </c>
      <c r="B15" s="13" t="s">
        <v>74</v>
      </c>
      <c r="C15" s="2" t="s">
        <v>75</v>
      </c>
    </row>
    <row r="17" spans="1:3">
      <c r="A17" s="10" t="s">
        <v>76</v>
      </c>
      <c r="B17" s="11"/>
      <c r="C17" s="11"/>
    </row>
    <row r="18" spans="1:3">
      <c r="A18" s="14" t="s">
        <v>77</v>
      </c>
      <c r="B18" s="13">
        <v>1</v>
      </c>
      <c r="C18" s="9" t="s">
        <v>78</v>
      </c>
    </row>
    <row r="19" spans="1:3">
      <c r="A19" s="14" t="s">
        <v>79</v>
      </c>
      <c r="B19" s="13">
        <v>1E-3</v>
      </c>
      <c r="C19" s="2" t="s">
        <v>80</v>
      </c>
    </row>
    <row r="20" spans="1:3">
      <c r="A20" s="14" t="s">
        <v>81</v>
      </c>
      <c r="B20" s="13">
        <v>0.7</v>
      </c>
      <c r="C20" s="9" t="s">
        <v>82</v>
      </c>
    </row>
    <row r="21" spans="1:3">
      <c r="A21" s="14" t="s">
        <v>83</v>
      </c>
      <c r="B21" s="13">
        <v>300</v>
      </c>
      <c r="C21" s="2"/>
    </row>
    <row r="23" spans="1:3">
      <c r="A23" s="10" t="s">
        <v>84</v>
      </c>
      <c r="B23" s="11"/>
      <c r="C23" s="11"/>
    </row>
    <row r="24" spans="1:3">
      <c r="A24" s="14" t="s">
        <v>85</v>
      </c>
      <c r="B24" s="13">
        <v>50</v>
      </c>
      <c r="C24" s="9" t="s">
        <v>86</v>
      </c>
    </row>
    <row r="25" spans="1:3">
      <c r="A25" s="12" t="s">
        <v>87</v>
      </c>
      <c r="B25" s="13">
        <v>500</v>
      </c>
      <c r="C25" s="2" t="s">
        <v>88</v>
      </c>
    </row>
    <row r="26" spans="1:3">
      <c r="A26" s="12" t="s">
        <v>89</v>
      </c>
      <c r="B26" s="13" t="s">
        <v>90</v>
      </c>
      <c r="C26" s="9" t="s">
        <v>91</v>
      </c>
    </row>
    <row r="27" spans="1:3" ht="409.6">
      <c r="A27" s="12" t="s">
        <v>92</v>
      </c>
      <c r="B27" s="13" t="s">
        <v>93</v>
      </c>
      <c r="C27" s="2" t="s">
        <v>94</v>
      </c>
    </row>
    <row r="29" spans="1:3" ht="409.6">
      <c r="A29" s="10" t="s">
        <v>95</v>
      </c>
      <c r="B29" s="11"/>
      <c r="C29" s="11"/>
    </row>
    <row r="30" spans="1:3" ht="409.6">
      <c r="A30" s="12" t="s">
        <v>96</v>
      </c>
      <c r="B30" s="13" t="s">
        <v>97</v>
      </c>
      <c r="C30" s="9" t="s">
        <v>98</v>
      </c>
    </row>
    <row r="31" spans="1:3">
      <c r="A31" s="14" t="s">
        <v>99</v>
      </c>
      <c r="B31" s="13" t="s">
        <v>100</v>
      </c>
      <c r="C31" s="2"/>
    </row>
    <row r="32" spans="1:3">
      <c r="A32" s="14" t="s">
        <v>101</v>
      </c>
      <c r="B32" s="13" t="s">
        <v>102</v>
      </c>
      <c r="C32" s="2"/>
    </row>
    <row r="33" spans="1:3">
      <c r="A33" s="14" t="s">
        <v>103</v>
      </c>
      <c r="B33" s="13" t="s">
        <v>104</v>
      </c>
      <c r="C33" s="2"/>
    </row>
    <row r="34" spans="1:3">
      <c r="A34" s="14" t="s">
        <v>105</v>
      </c>
      <c r="B34" s="13" t="s">
        <v>106</v>
      </c>
      <c r="C34" s="2"/>
    </row>
    <row r="35" spans="1:3" ht="409.6">
      <c r="A35" s="14" t="s">
        <v>107</v>
      </c>
      <c r="B35" s="13" t="s">
        <v>108</v>
      </c>
      <c r="C35" s="2"/>
    </row>
    <row r="36" spans="1:3" ht="409.6">
      <c r="A36" s="14" t="s">
        <v>109</v>
      </c>
      <c r="B36" s="13" t="s">
        <v>110</v>
      </c>
      <c r="C36" s="2" t="s">
        <v>111</v>
      </c>
    </row>
    <row r="38" spans="1:3">
      <c r="A38" s="10" t="s">
        <v>112</v>
      </c>
      <c r="B38" s="11"/>
      <c r="C38" s="11"/>
    </row>
    <row r="39" spans="1:3">
      <c r="A39" s="12" t="s">
        <v>113</v>
      </c>
      <c r="B39" s="13">
        <v>42</v>
      </c>
      <c r="C39" s="2" t="s">
        <v>114</v>
      </c>
    </row>
    <row r="40" spans="1:3" ht="409.6">
      <c r="A40" s="14" t="s">
        <v>115</v>
      </c>
      <c r="B40" s="13" t="s">
        <v>116</v>
      </c>
      <c r="C40" s="9" t="s">
        <v>117</v>
      </c>
    </row>
    <row r="41" spans="1:3" ht="409.6">
      <c r="A41" s="14" t="s">
        <v>118</v>
      </c>
      <c r="B41" s="13"/>
      <c r="C41" s="2"/>
    </row>
    <row r="42" spans="1:3" ht="409.6">
      <c r="A42" s="14" t="s">
        <v>119</v>
      </c>
      <c r="B42" s="13"/>
      <c r="C42" s="9" t="s">
        <v>120</v>
      </c>
    </row>
  </sheetData>
  <phoneticPr fontId="2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B64"/>
  <sheetViews>
    <sheetView tabSelected="1" workbookViewId="0">
      <pane xSplit="4" ySplit="4" topLeftCell="L5" activePane="bottomRight" state="frozen"/>
      <selection pane="topRight"/>
      <selection pane="bottomLeft"/>
      <selection pane="bottomRight" activeCell="U16" sqref="U16"/>
    </sheetView>
  </sheetViews>
  <sheetFormatPr defaultColWidth="8.6328125" defaultRowHeight="14.5"/>
  <cols>
    <col min="1" max="1" width="8" customWidth="1"/>
    <col min="2" max="2" width="11" customWidth="1"/>
    <col min="3" max="3" width="9" customWidth="1"/>
    <col min="4" max="4" width="30" customWidth="1"/>
    <col min="5" max="5" width="11" customWidth="1"/>
    <col min="6" max="6" width="34" customWidth="1"/>
    <col min="7" max="7" width="13" customWidth="1"/>
    <col min="8" max="9" width="8" customWidth="1"/>
    <col min="10" max="10" width="9" customWidth="1"/>
    <col min="11" max="11" width="8" customWidth="1"/>
    <col min="12" max="13" width="11" customWidth="1"/>
    <col min="14" max="14" width="13" customWidth="1"/>
    <col min="15" max="17" width="10" customWidth="1"/>
    <col min="18" max="18" width="14" customWidth="1"/>
    <col min="19" max="19" width="13" customWidth="1"/>
    <col min="20" max="21" width="15" customWidth="1"/>
    <col min="22" max="22" width="10" customWidth="1"/>
    <col min="23" max="23" width="9" customWidth="1"/>
    <col min="24" max="24" width="12" customWidth="1"/>
    <col min="25" max="25" width="11" customWidth="1"/>
    <col min="26" max="26" width="34" customWidth="1"/>
    <col min="27" max="27" width="28" customWidth="1"/>
    <col min="28" max="28" width="10" customWidth="1"/>
  </cols>
  <sheetData>
    <row r="1" spans="1:28" ht="18">
      <c r="A1" s="1" t="s">
        <v>121</v>
      </c>
    </row>
    <row r="2" spans="1:28">
      <c r="A2" s="9" t="s">
        <v>122</v>
      </c>
    </row>
    <row r="4" spans="1:28" ht="31.5" customHeight="1">
      <c r="A4" s="15" t="s">
        <v>123</v>
      </c>
      <c r="B4" s="15" t="s">
        <v>124</v>
      </c>
      <c r="C4" s="15" t="s">
        <v>125</v>
      </c>
      <c r="D4" s="15" t="s">
        <v>126</v>
      </c>
      <c r="E4" s="15" t="s">
        <v>127</v>
      </c>
      <c r="F4" s="15" t="s">
        <v>128</v>
      </c>
      <c r="G4" s="15" t="s">
        <v>129</v>
      </c>
      <c r="H4" s="15" t="s">
        <v>130</v>
      </c>
      <c r="I4" s="15" t="s">
        <v>131</v>
      </c>
      <c r="J4" s="15" t="s">
        <v>132</v>
      </c>
      <c r="K4" s="16" t="s">
        <v>133</v>
      </c>
      <c r="L4" s="16" t="s">
        <v>134</v>
      </c>
      <c r="M4" s="16" t="s">
        <v>135</v>
      </c>
      <c r="N4" s="15" t="s">
        <v>136</v>
      </c>
      <c r="O4" s="16" t="s">
        <v>137</v>
      </c>
      <c r="P4" s="16" t="s">
        <v>138</v>
      </c>
      <c r="Q4" s="16" t="s">
        <v>139</v>
      </c>
      <c r="R4" s="16" t="s">
        <v>140</v>
      </c>
      <c r="S4" s="16" t="s">
        <v>141</v>
      </c>
      <c r="T4" s="16" t="s">
        <v>142</v>
      </c>
      <c r="U4" s="16" t="s">
        <v>143</v>
      </c>
      <c r="V4" s="16" t="s">
        <v>144</v>
      </c>
      <c r="W4" s="16" t="s">
        <v>145</v>
      </c>
      <c r="X4" s="16" t="s">
        <v>146</v>
      </c>
      <c r="Y4" s="15" t="s">
        <v>147</v>
      </c>
      <c r="Z4" s="15" t="s">
        <v>148</v>
      </c>
      <c r="AA4" s="15" t="s">
        <v>149</v>
      </c>
      <c r="AB4" s="15" t="s">
        <v>150</v>
      </c>
    </row>
    <row r="5" spans="1:28" ht="25">
      <c r="A5" s="17" t="s">
        <v>151</v>
      </c>
      <c r="B5" s="17" t="s">
        <v>152</v>
      </c>
      <c r="C5" s="18" t="s">
        <v>153</v>
      </c>
      <c r="D5" s="17" t="s">
        <v>154</v>
      </c>
      <c r="E5" s="17"/>
      <c r="F5" s="18" t="s">
        <v>155</v>
      </c>
      <c r="G5" s="17" t="s">
        <v>156</v>
      </c>
      <c r="H5" s="17">
        <v>1280</v>
      </c>
      <c r="I5" s="17">
        <v>384</v>
      </c>
      <c r="J5" s="17" t="s">
        <v>157</v>
      </c>
      <c r="K5" s="17">
        <v>100</v>
      </c>
      <c r="L5" s="19">
        <v>3.2</v>
      </c>
      <c r="M5" s="19">
        <v>8.6999999999999993</v>
      </c>
      <c r="N5" s="19">
        <v>12.6</v>
      </c>
      <c r="O5" s="19">
        <v>72.400000000000006</v>
      </c>
      <c r="P5" s="19">
        <v>48.1</v>
      </c>
      <c r="Q5" s="19">
        <v>55.3</v>
      </c>
      <c r="R5" s="20">
        <f>IFERROR(AVERAGE(O5,P5,Q5),"")</f>
        <v>58.6</v>
      </c>
      <c r="S5" s="20" t="str">
        <f>IF(E5="","",IFERROR((INDEX($R$5:$R$64,MATCH(E5,$A$5:$A$64,0))-R5)/INDEX($R$5:$R$64,MATCH(E5,$A$5:$A$64,0))*100,""))</f>
        <v/>
      </c>
      <c r="T5" s="19">
        <v>12.4</v>
      </c>
      <c r="U5" s="19">
        <v>14.8</v>
      </c>
      <c r="V5" s="19">
        <v>18.2</v>
      </c>
      <c r="W5" s="21">
        <f>IFERROR(1000/T5,"")</f>
        <v>80.645161290322577</v>
      </c>
      <c r="X5" s="17">
        <v>1840</v>
      </c>
      <c r="Y5" s="17" t="s">
        <v>158</v>
      </c>
      <c r="Z5" s="18" t="s">
        <v>159</v>
      </c>
      <c r="AA5" s="17" t="s">
        <v>160</v>
      </c>
      <c r="AB5" s="18" t="s">
        <v>161</v>
      </c>
    </row>
    <row r="6" spans="1:28" ht="37.5" hidden="1">
      <c r="A6" s="22" t="s">
        <v>162</v>
      </c>
      <c r="B6" s="35">
        <v>46293.815335185187</v>
      </c>
      <c r="C6" s="22" t="s">
        <v>163</v>
      </c>
      <c r="D6" s="22" t="s">
        <v>164</v>
      </c>
      <c r="E6" s="22"/>
      <c r="F6" s="22" t="s">
        <v>165</v>
      </c>
      <c r="G6" s="22" t="s">
        <v>166</v>
      </c>
      <c r="H6" s="22">
        <v>640</v>
      </c>
      <c r="I6" s="22">
        <v>640</v>
      </c>
      <c r="J6" s="22" t="s">
        <v>157</v>
      </c>
      <c r="K6" s="22">
        <v>3</v>
      </c>
      <c r="L6" s="23">
        <v>3.0114329999999998</v>
      </c>
      <c r="M6" s="23">
        <v>8.1938431999999999</v>
      </c>
      <c r="N6" s="23">
        <v>12.256346000000001</v>
      </c>
      <c r="O6" s="23">
        <v>44.122531908166245</v>
      </c>
      <c r="P6" s="23">
        <v>14.301728043696377</v>
      </c>
      <c r="Q6" s="23">
        <v>0.7273503364133328</v>
      </c>
      <c r="R6" s="24">
        <f>AVERAGE(O6:Q6)</f>
        <v>19.717203429425318</v>
      </c>
      <c r="S6" s="24" t="str">
        <f>""</f>
        <v/>
      </c>
      <c r="T6" s="23">
        <v>79.877799998939736</v>
      </c>
      <c r="U6" s="23">
        <v>86.04123500190326</v>
      </c>
      <c r="V6" s="23">
        <v>85.667406600077811</v>
      </c>
      <c r="W6" s="25">
        <f>IF(T6=0,"",1000/T6)</f>
        <v>12.519122960488065</v>
      </c>
      <c r="X6" s="22">
        <v>747.22508800000003</v>
      </c>
      <c r="Y6" s="22" t="s">
        <v>97</v>
      </c>
      <c r="Z6" s="22" t="s">
        <v>167</v>
      </c>
      <c r="AA6" s="22"/>
      <c r="AB6" s="22" t="s">
        <v>168</v>
      </c>
    </row>
    <row r="7" spans="1:28" ht="37.5" hidden="1">
      <c r="A7" s="22" t="s">
        <v>169</v>
      </c>
      <c r="B7" s="35">
        <v>46293.817620752314</v>
      </c>
      <c r="C7" s="22" t="s">
        <v>163</v>
      </c>
      <c r="D7" s="22" t="s">
        <v>164</v>
      </c>
      <c r="E7" s="22" t="s">
        <v>162</v>
      </c>
      <c r="F7" s="22" t="s">
        <v>165</v>
      </c>
      <c r="G7" s="22" t="s">
        <v>166</v>
      </c>
      <c r="H7" s="22">
        <v>640</v>
      </c>
      <c r="I7" s="22">
        <v>640</v>
      </c>
      <c r="J7" s="22" t="s">
        <v>170</v>
      </c>
      <c r="K7" s="22">
        <v>3</v>
      </c>
      <c r="L7" s="23">
        <v>3.0114329999999998</v>
      </c>
      <c r="M7" s="23">
        <v>8.1938431999999999</v>
      </c>
      <c r="N7" s="23">
        <v>3.4496669999999998</v>
      </c>
      <c r="O7" s="23">
        <v>42.160527580768438</v>
      </c>
      <c r="P7" s="23">
        <v>12.723083056497703</v>
      </c>
      <c r="Q7" s="23">
        <v>0.54522901955325709</v>
      </c>
      <c r="R7" s="24">
        <f>AVERAGE(O7:Q7)</f>
        <v>18.476279885606466</v>
      </c>
      <c r="S7" s="24">
        <f>IF(R6=0,"",(R6-R7)/R6*100)</f>
        <v>6.2936082607279769</v>
      </c>
      <c r="T7" s="23">
        <v>107.83519999858981</v>
      </c>
      <c r="U7" s="23">
        <v>116.37946000009832</v>
      </c>
      <c r="V7" s="23">
        <v>114.12308520004444</v>
      </c>
      <c r="W7" s="25">
        <f>IF(T7=0,"",1000/T7)</f>
        <v>9.2734097958095063</v>
      </c>
      <c r="X7" s="22">
        <v>752.52940799999999</v>
      </c>
      <c r="Y7" s="22" t="s">
        <v>97</v>
      </c>
      <c r="Z7" s="22" t="s">
        <v>167</v>
      </c>
      <c r="AA7" s="22"/>
      <c r="AB7" s="22" t="s">
        <v>168</v>
      </c>
    </row>
    <row r="8" spans="1:28" ht="37.5">
      <c r="A8" s="22" t="s">
        <v>171</v>
      </c>
      <c r="B8" s="35">
        <v>46294.197101157406</v>
      </c>
      <c r="C8" s="22" t="s">
        <v>163</v>
      </c>
      <c r="D8" s="22" t="s">
        <v>172</v>
      </c>
      <c r="E8" s="22"/>
      <c r="F8" s="22" t="s">
        <v>165</v>
      </c>
      <c r="G8" s="22" t="s">
        <v>173</v>
      </c>
      <c r="H8" s="22">
        <v>640</v>
      </c>
      <c r="I8" s="22">
        <v>640</v>
      </c>
      <c r="J8" s="22" t="s">
        <v>157</v>
      </c>
      <c r="K8" s="22">
        <v>100</v>
      </c>
      <c r="L8" s="23">
        <v>25.858056999999999</v>
      </c>
      <c r="M8" s="23">
        <v>79.065292799999995</v>
      </c>
      <c r="N8" s="23">
        <v>103.614946</v>
      </c>
      <c r="O8" s="23">
        <v>98.360714093165853</v>
      </c>
      <c r="P8" s="23">
        <v>86.854491145926715</v>
      </c>
      <c r="Q8" s="23">
        <v>91.677571744529374</v>
      </c>
      <c r="R8" s="24">
        <f>AVERAGE(O8:Q8)</f>
        <v>92.297592327873986</v>
      </c>
      <c r="S8" s="24" t="str">
        <f>""</f>
        <v/>
      </c>
      <c r="T8" s="23">
        <v>551.31375000200933</v>
      </c>
      <c r="U8" s="23">
        <v>558.90963500314683</v>
      </c>
      <c r="V8" s="23">
        <v>557.86928680009441</v>
      </c>
      <c r="W8" s="25">
        <f>IF(T8=0,"",1000/T8)</f>
        <v>1.8138491920369397</v>
      </c>
      <c r="X8" s="22">
        <v>895.68460800000003</v>
      </c>
      <c r="Y8" s="22" t="s">
        <v>97</v>
      </c>
      <c r="Z8" s="22" t="s">
        <v>167</v>
      </c>
      <c r="AA8" s="22"/>
      <c r="AB8" s="22" t="s">
        <v>168</v>
      </c>
    </row>
    <row r="9" spans="1:28" ht="37.5">
      <c r="A9" s="22" t="s">
        <v>174</v>
      </c>
      <c r="B9" s="35">
        <v>46294.209782858794</v>
      </c>
      <c r="C9" s="22" t="s">
        <v>163</v>
      </c>
      <c r="D9" s="22" t="s">
        <v>172</v>
      </c>
      <c r="E9" s="22" t="s">
        <v>171</v>
      </c>
      <c r="F9" s="22" t="s">
        <v>165</v>
      </c>
      <c r="G9" s="22" t="s">
        <v>173</v>
      </c>
      <c r="H9" s="22">
        <v>640</v>
      </c>
      <c r="I9" s="22">
        <v>640</v>
      </c>
      <c r="J9" s="22" t="s">
        <v>170</v>
      </c>
      <c r="K9" s="22">
        <v>100</v>
      </c>
      <c r="L9" s="23">
        <v>25.858056999999999</v>
      </c>
      <c r="M9" s="23">
        <v>79.065292799999995</v>
      </c>
      <c r="N9" s="23">
        <v>26.526184000000001</v>
      </c>
      <c r="O9" s="23">
        <v>93.16462764429923</v>
      </c>
      <c r="P9" s="23">
        <v>82.729565648011359</v>
      </c>
      <c r="Q9" s="23">
        <v>88.157340522399451</v>
      </c>
      <c r="R9" s="24">
        <f>AVERAGE(O9:Q9)</f>
        <v>88.017177938236685</v>
      </c>
      <c r="S9" s="24">
        <f>IF(R8=0,"",(R8-R9)/R8*100)</f>
        <v>4.6376230210120122</v>
      </c>
      <c r="T9" s="23">
        <v>670.18090000055963</v>
      </c>
      <c r="U9" s="23">
        <v>1036.6443849969073</v>
      </c>
      <c r="V9" s="23">
        <v>770.62930779962335</v>
      </c>
      <c r="W9" s="25">
        <f>IF(T9=0,"",1000/T9)</f>
        <v>1.4921344371335634</v>
      </c>
      <c r="X9" s="22">
        <v>873.13612799999999</v>
      </c>
      <c r="Y9" s="22" t="s">
        <v>97</v>
      </c>
      <c r="Z9" s="22" t="s">
        <v>167</v>
      </c>
      <c r="AA9" s="22"/>
      <c r="AB9" s="22" t="s">
        <v>168</v>
      </c>
    </row>
    <row r="10" spans="1:28" ht="50">
      <c r="A10" s="22" t="s">
        <v>235</v>
      </c>
      <c r="B10" s="36">
        <v>46294.279959629632</v>
      </c>
      <c r="C10" s="22" t="s">
        <v>163</v>
      </c>
      <c r="D10" s="22" t="s">
        <v>236</v>
      </c>
      <c r="E10" s="22"/>
      <c r="F10" s="22" t="s">
        <v>165</v>
      </c>
      <c r="G10" s="22" t="s">
        <v>166</v>
      </c>
      <c r="H10" s="22">
        <v>640</v>
      </c>
      <c r="I10" s="22">
        <v>640</v>
      </c>
      <c r="J10" s="22" t="s">
        <v>157</v>
      </c>
      <c r="K10" s="22">
        <v>100</v>
      </c>
      <c r="L10" s="23">
        <v>3.0114329999999998</v>
      </c>
      <c r="M10" s="23">
        <v>8.1938431999999999</v>
      </c>
      <c r="N10" s="23">
        <v>12.256346000000001</v>
      </c>
      <c r="O10" s="23">
        <v>96.3544957665966</v>
      </c>
      <c r="P10" s="23">
        <v>79.659125578351819</v>
      </c>
      <c r="Q10" s="23">
        <v>85.69331558926342</v>
      </c>
      <c r="R10" s="24">
        <f t="shared" ref="R10:R41" si="0">AVERAGE(O10:Q10)</f>
        <v>87.235645644737289</v>
      </c>
      <c r="S10" s="24" t="str">
        <f t="shared" ref="S10:S41" si="1">""</f>
        <v/>
      </c>
      <c r="T10" s="23">
        <v>97.956600002362393</v>
      </c>
      <c r="U10" s="23">
        <v>102.04231499737944</v>
      </c>
      <c r="V10" s="23">
        <v>106.85155840037623</v>
      </c>
      <c r="W10" s="25">
        <f t="shared" ref="W10:W41" si="2">IF(T10=0,"",1000/T10)</f>
        <v>10.208602584980321</v>
      </c>
      <c r="X10" s="22">
        <v>686.55103999999994</v>
      </c>
      <c r="Y10" s="22" t="s">
        <v>97</v>
      </c>
      <c r="Z10" s="22" t="s">
        <v>167</v>
      </c>
      <c r="AA10" s="22"/>
      <c r="AB10" s="22" t="s">
        <v>168</v>
      </c>
    </row>
    <row r="11" spans="1:28" ht="50">
      <c r="A11" s="22" t="s">
        <v>237</v>
      </c>
      <c r="B11" s="36">
        <v>46294.282702303244</v>
      </c>
      <c r="C11" s="22" t="s">
        <v>163</v>
      </c>
      <c r="D11" s="22" t="s">
        <v>236</v>
      </c>
      <c r="E11" s="22" t="s">
        <v>235</v>
      </c>
      <c r="F11" s="22" t="s">
        <v>165</v>
      </c>
      <c r="G11" s="22" t="s">
        <v>166</v>
      </c>
      <c r="H11" s="22">
        <v>640</v>
      </c>
      <c r="I11" s="22">
        <v>640</v>
      </c>
      <c r="J11" s="22" t="s">
        <v>170</v>
      </c>
      <c r="K11" s="22">
        <v>100</v>
      </c>
      <c r="L11" s="23">
        <v>3.0114329999999998</v>
      </c>
      <c r="M11" s="23">
        <v>8.1938431999999999</v>
      </c>
      <c r="N11" s="23">
        <v>3.4496669999999998</v>
      </c>
      <c r="O11" s="23">
        <v>93.872549505994357</v>
      </c>
      <c r="P11" s="23">
        <v>74.560580278834124</v>
      </c>
      <c r="Q11" s="23">
        <v>82.092267009346216</v>
      </c>
      <c r="R11" s="24">
        <f t="shared" si="0"/>
        <v>83.508465598058237</v>
      </c>
      <c r="S11" s="24">
        <f>IF(R10=0,"",(R10-R11)/R10*100)</f>
        <v>4.2725425130201966</v>
      </c>
      <c r="T11" s="23">
        <v>141.05410000047414</v>
      </c>
      <c r="U11" s="23">
        <v>145.29136000273866</v>
      </c>
      <c r="V11" s="23">
        <v>149.83947200019611</v>
      </c>
      <c r="W11" s="25">
        <f t="shared" si="2"/>
        <v>7.0894784341372468</v>
      </c>
      <c r="X11" s="22">
        <v>690.62656000000004</v>
      </c>
      <c r="Y11" s="22" t="s">
        <v>97</v>
      </c>
      <c r="Z11" s="22" t="s">
        <v>167</v>
      </c>
      <c r="AA11" s="22"/>
      <c r="AB11" s="22" t="s">
        <v>168</v>
      </c>
    </row>
    <row r="12" spans="1:28" ht="50">
      <c r="A12" s="22" t="s">
        <v>238</v>
      </c>
      <c r="B12" s="36">
        <v>46294.393683773145</v>
      </c>
      <c r="C12" s="22" t="s">
        <v>163</v>
      </c>
      <c r="D12" s="22" t="s">
        <v>239</v>
      </c>
      <c r="E12" s="22"/>
      <c r="F12" s="22" t="s">
        <v>165</v>
      </c>
      <c r="G12" s="22" t="s">
        <v>240</v>
      </c>
      <c r="H12" s="22">
        <v>640</v>
      </c>
      <c r="I12" s="22">
        <v>640</v>
      </c>
      <c r="J12" s="22" t="s">
        <v>157</v>
      </c>
      <c r="K12" s="22">
        <v>100</v>
      </c>
      <c r="L12" s="23">
        <v>11.136761</v>
      </c>
      <c r="M12" s="23">
        <v>28.646348799999998</v>
      </c>
      <c r="N12" s="23">
        <v>44.738553000000003</v>
      </c>
      <c r="O12" s="23">
        <v>97.684294710942595</v>
      </c>
      <c r="P12" s="23">
        <v>84.662480469125498</v>
      </c>
      <c r="Q12" s="23">
        <v>90.960503983203395</v>
      </c>
      <c r="R12" s="24">
        <f t="shared" si="0"/>
        <v>91.102426387757177</v>
      </c>
      <c r="S12" s="24" t="str">
        <f t="shared" si="1"/>
        <v/>
      </c>
      <c r="T12" s="23">
        <v>305.69385000126204</v>
      </c>
      <c r="U12" s="23">
        <v>310.18840500400984</v>
      </c>
      <c r="V12" s="23">
        <v>314.13227800003369</v>
      </c>
      <c r="W12" s="25">
        <f t="shared" si="2"/>
        <v>3.2712467064544204</v>
      </c>
      <c r="X12" s="22">
        <v>773.26336000000003</v>
      </c>
      <c r="Y12" s="22" t="s">
        <v>97</v>
      </c>
      <c r="Z12" s="22" t="s">
        <v>167</v>
      </c>
      <c r="AA12" s="22"/>
      <c r="AB12" s="22" t="s">
        <v>168</v>
      </c>
    </row>
    <row r="13" spans="1:28" ht="50">
      <c r="A13" s="22" t="s">
        <v>241</v>
      </c>
      <c r="B13" s="36">
        <v>46294.401140925926</v>
      </c>
      <c r="C13" s="22" t="s">
        <v>163</v>
      </c>
      <c r="D13" s="22" t="s">
        <v>239</v>
      </c>
      <c r="E13" s="22" t="s">
        <v>238</v>
      </c>
      <c r="F13" s="22" t="s">
        <v>165</v>
      </c>
      <c r="G13" s="22" t="s">
        <v>240</v>
      </c>
      <c r="H13" s="22">
        <v>640</v>
      </c>
      <c r="I13" s="22">
        <v>640</v>
      </c>
      <c r="J13" s="22" t="s">
        <v>170</v>
      </c>
      <c r="K13" s="22">
        <v>100</v>
      </c>
      <c r="L13" s="23">
        <v>11.136761</v>
      </c>
      <c r="M13" s="23">
        <v>28.646348799999998</v>
      </c>
      <c r="N13" s="23">
        <v>11.64753</v>
      </c>
      <c r="O13" s="23">
        <v>95.18345015622333</v>
      </c>
      <c r="P13" s="23">
        <v>82.214196315685726</v>
      </c>
      <c r="Q13" s="23">
        <v>87.344027504142801</v>
      </c>
      <c r="R13" s="24">
        <f t="shared" si="0"/>
        <v>88.247224658683947</v>
      </c>
      <c r="S13" s="24">
        <f>IF(R12=0,"",(R12-R13)/R12*100)</f>
        <v>3.1340567340332948</v>
      </c>
      <c r="T13" s="23">
        <v>404.62920000572922</v>
      </c>
      <c r="U13" s="23">
        <v>409.93722999555757</v>
      </c>
      <c r="V13" s="23">
        <v>412.8695076003205</v>
      </c>
      <c r="W13" s="25">
        <f t="shared" si="2"/>
        <v>2.4713985050654794</v>
      </c>
      <c r="X13" s="22">
        <v>763.60089600000003</v>
      </c>
      <c r="Y13" s="22" t="s">
        <v>97</v>
      </c>
      <c r="Z13" s="22" t="s">
        <v>167</v>
      </c>
      <c r="AA13" s="22"/>
      <c r="AB13" s="22" t="s">
        <v>168</v>
      </c>
    </row>
    <row r="14" spans="1:28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3"/>
      <c r="M14" s="23"/>
      <c r="N14" s="23"/>
      <c r="O14" s="23"/>
      <c r="P14" s="23"/>
      <c r="Q14" s="23"/>
      <c r="R14" s="24" t="e">
        <f t="shared" si="0"/>
        <v>#DIV/0!</v>
      </c>
      <c r="S14" s="24" t="str">
        <f t="shared" si="1"/>
        <v/>
      </c>
      <c r="T14" s="23"/>
      <c r="U14" s="23"/>
      <c r="V14" s="23"/>
      <c r="W14" s="25" t="str">
        <f t="shared" si="2"/>
        <v/>
      </c>
      <c r="X14" s="22"/>
      <c r="Y14" s="22"/>
      <c r="Z14" s="22"/>
      <c r="AA14" s="22"/>
      <c r="AB14" s="22"/>
    </row>
    <row r="15" spans="1:28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3"/>
      <c r="M15" s="23"/>
      <c r="N15" s="23"/>
      <c r="O15" s="23"/>
      <c r="P15" s="23"/>
      <c r="Q15" s="23"/>
      <c r="R15" s="24" t="e">
        <f t="shared" si="0"/>
        <v>#DIV/0!</v>
      </c>
      <c r="S15" s="24" t="str">
        <f t="shared" si="1"/>
        <v/>
      </c>
      <c r="T15" s="23"/>
      <c r="U15" s="23"/>
      <c r="V15" s="23"/>
      <c r="W15" s="25" t="str">
        <f t="shared" si="2"/>
        <v/>
      </c>
      <c r="X15" s="22"/>
      <c r="Y15" s="22"/>
      <c r="Z15" s="22"/>
      <c r="AA15" s="22"/>
      <c r="AB15" s="22"/>
    </row>
    <row r="16" spans="1:28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  <c r="M16" s="23"/>
      <c r="N16" s="23"/>
      <c r="O16" s="23"/>
      <c r="P16" s="23"/>
      <c r="Q16" s="23"/>
      <c r="R16" s="24" t="e">
        <f t="shared" si="0"/>
        <v>#DIV/0!</v>
      </c>
      <c r="S16" s="24" t="str">
        <f t="shared" si="1"/>
        <v/>
      </c>
      <c r="T16" s="23"/>
      <c r="U16" s="23"/>
      <c r="V16" s="23"/>
      <c r="W16" s="25" t="str">
        <f t="shared" si="2"/>
        <v/>
      </c>
      <c r="X16" s="22"/>
      <c r="Y16" s="22"/>
      <c r="Z16" s="22"/>
      <c r="AA16" s="22"/>
      <c r="AB16" s="22"/>
    </row>
    <row r="17" spans="1:28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3"/>
      <c r="M17" s="23"/>
      <c r="N17" s="23"/>
      <c r="O17" s="23"/>
      <c r="P17" s="23"/>
      <c r="Q17" s="23"/>
      <c r="R17" s="24" t="e">
        <f t="shared" si="0"/>
        <v>#DIV/0!</v>
      </c>
      <c r="S17" s="24" t="str">
        <f t="shared" si="1"/>
        <v/>
      </c>
      <c r="T17" s="23"/>
      <c r="U17" s="23"/>
      <c r="V17" s="23"/>
      <c r="W17" s="25" t="str">
        <f t="shared" si="2"/>
        <v/>
      </c>
      <c r="X17" s="22"/>
      <c r="Y17" s="22"/>
      <c r="Z17" s="22"/>
      <c r="AA17" s="22"/>
      <c r="AB17" s="22"/>
    </row>
    <row r="18" spans="1:2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3"/>
      <c r="M18" s="23"/>
      <c r="N18" s="23"/>
      <c r="O18" s="23"/>
      <c r="P18" s="23"/>
      <c r="Q18" s="23"/>
      <c r="R18" s="24" t="e">
        <f t="shared" si="0"/>
        <v>#DIV/0!</v>
      </c>
      <c r="S18" s="24" t="str">
        <f t="shared" si="1"/>
        <v/>
      </c>
      <c r="T18" s="23"/>
      <c r="U18" s="23"/>
      <c r="V18" s="23"/>
      <c r="W18" s="25" t="str">
        <f t="shared" si="2"/>
        <v/>
      </c>
      <c r="X18" s="22"/>
      <c r="Y18" s="22"/>
      <c r="Z18" s="22"/>
      <c r="AA18" s="22"/>
      <c r="AB18" s="22"/>
    </row>
    <row r="19" spans="1:28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3"/>
      <c r="M19" s="23"/>
      <c r="N19" s="23"/>
      <c r="O19" s="23"/>
      <c r="P19" s="23"/>
      <c r="Q19" s="23"/>
      <c r="R19" s="24" t="e">
        <f t="shared" si="0"/>
        <v>#DIV/0!</v>
      </c>
      <c r="S19" s="24" t="str">
        <f t="shared" si="1"/>
        <v/>
      </c>
      <c r="T19" s="23"/>
      <c r="U19" s="23"/>
      <c r="V19" s="23"/>
      <c r="W19" s="25" t="str">
        <f t="shared" si="2"/>
        <v/>
      </c>
      <c r="X19" s="22"/>
      <c r="Y19" s="22"/>
      <c r="Z19" s="22"/>
      <c r="AA19" s="22"/>
      <c r="AB19" s="22"/>
    </row>
    <row r="20" spans="1:28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3"/>
      <c r="M20" s="23"/>
      <c r="N20" s="23"/>
      <c r="O20" s="23"/>
      <c r="P20" s="23"/>
      <c r="Q20" s="23"/>
      <c r="R20" s="24" t="e">
        <f t="shared" si="0"/>
        <v>#DIV/0!</v>
      </c>
      <c r="S20" s="24" t="str">
        <f t="shared" si="1"/>
        <v/>
      </c>
      <c r="T20" s="23"/>
      <c r="U20" s="23"/>
      <c r="V20" s="23"/>
      <c r="W20" s="25" t="str">
        <f t="shared" si="2"/>
        <v/>
      </c>
      <c r="X20" s="22"/>
      <c r="Y20" s="22"/>
      <c r="Z20" s="22"/>
      <c r="AA20" s="22"/>
      <c r="AB20" s="22"/>
    </row>
    <row r="21" spans="1:28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3"/>
      <c r="M21" s="23"/>
      <c r="N21" s="23"/>
      <c r="O21" s="23"/>
      <c r="P21" s="23"/>
      <c r="Q21" s="23"/>
      <c r="R21" s="24" t="e">
        <f t="shared" si="0"/>
        <v>#DIV/0!</v>
      </c>
      <c r="S21" s="24" t="str">
        <f t="shared" si="1"/>
        <v/>
      </c>
      <c r="T21" s="23"/>
      <c r="U21" s="23"/>
      <c r="V21" s="23"/>
      <c r="W21" s="25" t="str">
        <f t="shared" si="2"/>
        <v/>
      </c>
      <c r="X21" s="22"/>
      <c r="Y21" s="22"/>
      <c r="Z21" s="22"/>
      <c r="AA21" s="22"/>
      <c r="AB21" s="22"/>
    </row>
    <row r="22" spans="1:28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3"/>
      <c r="M22" s="23"/>
      <c r="N22" s="23"/>
      <c r="O22" s="23"/>
      <c r="P22" s="23"/>
      <c r="Q22" s="23"/>
      <c r="R22" s="24" t="e">
        <f t="shared" si="0"/>
        <v>#DIV/0!</v>
      </c>
      <c r="S22" s="24" t="str">
        <f t="shared" si="1"/>
        <v/>
      </c>
      <c r="T22" s="23"/>
      <c r="U22" s="23"/>
      <c r="V22" s="23"/>
      <c r="W22" s="25" t="str">
        <f t="shared" si="2"/>
        <v/>
      </c>
      <c r="X22" s="22"/>
      <c r="Y22" s="22"/>
      <c r="Z22" s="22"/>
      <c r="AA22" s="22"/>
      <c r="AB22" s="22"/>
    </row>
    <row r="23" spans="1:28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3"/>
      <c r="M23" s="23"/>
      <c r="N23" s="23"/>
      <c r="O23" s="23"/>
      <c r="P23" s="23"/>
      <c r="Q23" s="23"/>
      <c r="R23" s="24" t="e">
        <f t="shared" si="0"/>
        <v>#DIV/0!</v>
      </c>
      <c r="S23" s="24" t="str">
        <f t="shared" si="1"/>
        <v/>
      </c>
      <c r="T23" s="23"/>
      <c r="U23" s="23"/>
      <c r="V23" s="23"/>
      <c r="W23" s="25" t="str">
        <f t="shared" si="2"/>
        <v/>
      </c>
      <c r="X23" s="22"/>
      <c r="Y23" s="22"/>
      <c r="Z23" s="22"/>
      <c r="AA23" s="22"/>
      <c r="AB23" s="22"/>
    </row>
    <row r="24" spans="1:28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3"/>
      <c r="M24" s="23"/>
      <c r="N24" s="23"/>
      <c r="O24" s="23"/>
      <c r="P24" s="23"/>
      <c r="Q24" s="23"/>
      <c r="R24" s="24" t="e">
        <f t="shared" si="0"/>
        <v>#DIV/0!</v>
      </c>
      <c r="S24" s="24" t="str">
        <f t="shared" si="1"/>
        <v/>
      </c>
      <c r="T24" s="23"/>
      <c r="U24" s="23"/>
      <c r="V24" s="23"/>
      <c r="W24" s="25" t="str">
        <f t="shared" si="2"/>
        <v/>
      </c>
      <c r="X24" s="22"/>
      <c r="Y24" s="22"/>
      <c r="Z24" s="22"/>
      <c r="AA24" s="22"/>
      <c r="AB24" s="22"/>
    </row>
    <row r="25" spans="1:28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3"/>
      <c r="M25" s="23"/>
      <c r="N25" s="23"/>
      <c r="O25" s="23"/>
      <c r="P25" s="23"/>
      <c r="Q25" s="23"/>
      <c r="R25" s="24" t="e">
        <f t="shared" si="0"/>
        <v>#DIV/0!</v>
      </c>
      <c r="S25" s="24" t="str">
        <f t="shared" si="1"/>
        <v/>
      </c>
      <c r="T25" s="23"/>
      <c r="U25" s="23"/>
      <c r="V25" s="23"/>
      <c r="W25" s="25" t="str">
        <f t="shared" si="2"/>
        <v/>
      </c>
      <c r="X25" s="22"/>
      <c r="Y25" s="22"/>
      <c r="Z25" s="22"/>
      <c r="AA25" s="22"/>
      <c r="AB25" s="22"/>
    </row>
    <row r="26" spans="1:28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3"/>
      <c r="M26" s="23"/>
      <c r="N26" s="23"/>
      <c r="O26" s="23"/>
      <c r="P26" s="23"/>
      <c r="Q26" s="23"/>
      <c r="R26" s="24" t="e">
        <f t="shared" si="0"/>
        <v>#DIV/0!</v>
      </c>
      <c r="S26" s="24" t="str">
        <f t="shared" si="1"/>
        <v/>
      </c>
      <c r="T26" s="23"/>
      <c r="U26" s="23"/>
      <c r="V26" s="23"/>
      <c r="W26" s="25" t="str">
        <f t="shared" si="2"/>
        <v/>
      </c>
      <c r="X26" s="22"/>
      <c r="Y26" s="22"/>
      <c r="Z26" s="22"/>
      <c r="AA26" s="22"/>
      <c r="AB26" s="22"/>
    </row>
    <row r="27" spans="1:28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3"/>
      <c r="M27" s="23"/>
      <c r="N27" s="23"/>
      <c r="O27" s="23"/>
      <c r="P27" s="23"/>
      <c r="Q27" s="23"/>
      <c r="R27" s="24" t="e">
        <f t="shared" si="0"/>
        <v>#DIV/0!</v>
      </c>
      <c r="S27" s="24" t="str">
        <f t="shared" si="1"/>
        <v/>
      </c>
      <c r="T27" s="23"/>
      <c r="U27" s="23"/>
      <c r="V27" s="23"/>
      <c r="W27" s="25" t="str">
        <f t="shared" si="2"/>
        <v/>
      </c>
      <c r="X27" s="22"/>
      <c r="Y27" s="22"/>
      <c r="Z27" s="22"/>
      <c r="AA27" s="22"/>
      <c r="AB27" s="22"/>
    </row>
    <row r="28" spans="1: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3"/>
      <c r="M28" s="23"/>
      <c r="N28" s="23"/>
      <c r="O28" s="23"/>
      <c r="P28" s="23"/>
      <c r="Q28" s="23"/>
      <c r="R28" s="24" t="e">
        <f t="shared" si="0"/>
        <v>#DIV/0!</v>
      </c>
      <c r="S28" s="24" t="str">
        <f t="shared" si="1"/>
        <v/>
      </c>
      <c r="T28" s="23"/>
      <c r="U28" s="23"/>
      <c r="V28" s="23"/>
      <c r="W28" s="25" t="str">
        <f t="shared" si="2"/>
        <v/>
      </c>
      <c r="X28" s="22"/>
      <c r="Y28" s="22"/>
      <c r="Z28" s="22"/>
      <c r="AA28" s="22"/>
      <c r="AB28" s="22"/>
    </row>
    <row r="29" spans="1:28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3"/>
      <c r="M29" s="23"/>
      <c r="N29" s="23"/>
      <c r="O29" s="23"/>
      <c r="P29" s="23"/>
      <c r="Q29" s="23"/>
      <c r="R29" s="24" t="e">
        <f t="shared" si="0"/>
        <v>#DIV/0!</v>
      </c>
      <c r="S29" s="24" t="str">
        <f t="shared" si="1"/>
        <v/>
      </c>
      <c r="T29" s="23"/>
      <c r="U29" s="23"/>
      <c r="V29" s="23"/>
      <c r="W29" s="25" t="str">
        <f t="shared" si="2"/>
        <v/>
      </c>
      <c r="X29" s="22"/>
      <c r="Y29" s="22"/>
      <c r="Z29" s="22"/>
      <c r="AA29" s="22"/>
      <c r="AB29" s="22"/>
    </row>
    <row r="30" spans="1:28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3"/>
      <c r="M30" s="23"/>
      <c r="N30" s="23"/>
      <c r="O30" s="23"/>
      <c r="P30" s="23"/>
      <c r="Q30" s="23"/>
      <c r="R30" s="24" t="e">
        <f t="shared" si="0"/>
        <v>#DIV/0!</v>
      </c>
      <c r="S30" s="24" t="str">
        <f t="shared" si="1"/>
        <v/>
      </c>
      <c r="T30" s="23"/>
      <c r="U30" s="23"/>
      <c r="V30" s="23"/>
      <c r="W30" s="25" t="str">
        <f t="shared" si="2"/>
        <v/>
      </c>
      <c r="X30" s="22"/>
      <c r="Y30" s="22"/>
      <c r="Z30" s="22"/>
      <c r="AA30" s="22"/>
      <c r="AB30" s="22"/>
    </row>
    <row r="31" spans="1:28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3"/>
      <c r="M31" s="23"/>
      <c r="N31" s="23"/>
      <c r="O31" s="23"/>
      <c r="P31" s="23"/>
      <c r="Q31" s="23"/>
      <c r="R31" s="24" t="e">
        <f t="shared" si="0"/>
        <v>#DIV/0!</v>
      </c>
      <c r="S31" s="24" t="str">
        <f t="shared" si="1"/>
        <v/>
      </c>
      <c r="T31" s="23"/>
      <c r="U31" s="23"/>
      <c r="V31" s="23"/>
      <c r="W31" s="25" t="str">
        <f t="shared" si="2"/>
        <v/>
      </c>
      <c r="X31" s="22"/>
      <c r="Y31" s="22"/>
      <c r="Z31" s="22"/>
      <c r="AA31" s="22"/>
      <c r="AB31" s="22"/>
    </row>
    <row r="32" spans="1:28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3"/>
      <c r="M32" s="23"/>
      <c r="N32" s="23"/>
      <c r="O32" s="23"/>
      <c r="P32" s="23"/>
      <c r="Q32" s="23"/>
      <c r="R32" s="24" t="e">
        <f t="shared" si="0"/>
        <v>#DIV/0!</v>
      </c>
      <c r="S32" s="24" t="str">
        <f t="shared" si="1"/>
        <v/>
      </c>
      <c r="T32" s="23"/>
      <c r="U32" s="23"/>
      <c r="V32" s="23"/>
      <c r="W32" s="25" t="str">
        <f t="shared" si="2"/>
        <v/>
      </c>
      <c r="X32" s="22"/>
      <c r="Y32" s="22"/>
      <c r="Z32" s="22"/>
      <c r="AA32" s="22"/>
      <c r="AB32" s="22"/>
    </row>
    <row r="33" spans="1:28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3"/>
      <c r="M33" s="23"/>
      <c r="N33" s="23"/>
      <c r="O33" s="23"/>
      <c r="P33" s="23"/>
      <c r="Q33" s="23"/>
      <c r="R33" s="24" t="e">
        <f t="shared" si="0"/>
        <v>#DIV/0!</v>
      </c>
      <c r="S33" s="24" t="str">
        <f t="shared" si="1"/>
        <v/>
      </c>
      <c r="T33" s="23"/>
      <c r="U33" s="23"/>
      <c r="V33" s="23"/>
      <c r="W33" s="25" t="str">
        <f t="shared" si="2"/>
        <v/>
      </c>
      <c r="X33" s="22"/>
      <c r="Y33" s="22"/>
      <c r="Z33" s="22"/>
      <c r="AA33" s="22"/>
      <c r="AB33" s="22"/>
    </row>
    <row r="34" spans="1:28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3"/>
      <c r="M34" s="23"/>
      <c r="N34" s="23"/>
      <c r="O34" s="23"/>
      <c r="P34" s="23"/>
      <c r="Q34" s="23"/>
      <c r="R34" s="24" t="e">
        <f t="shared" si="0"/>
        <v>#DIV/0!</v>
      </c>
      <c r="S34" s="24" t="str">
        <f t="shared" si="1"/>
        <v/>
      </c>
      <c r="T34" s="23"/>
      <c r="U34" s="23"/>
      <c r="V34" s="23"/>
      <c r="W34" s="25" t="str">
        <f t="shared" si="2"/>
        <v/>
      </c>
      <c r="X34" s="22"/>
      <c r="Y34" s="22"/>
      <c r="Z34" s="22"/>
      <c r="AA34" s="22"/>
      <c r="AB34" s="22"/>
    </row>
    <row r="35" spans="1:28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3"/>
      <c r="M35" s="23"/>
      <c r="N35" s="23"/>
      <c r="O35" s="23"/>
      <c r="P35" s="23"/>
      <c r="Q35" s="23"/>
      <c r="R35" s="24" t="e">
        <f t="shared" si="0"/>
        <v>#DIV/0!</v>
      </c>
      <c r="S35" s="24" t="str">
        <f t="shared" si="1"/>
        <v/>
      </c>
      <c r="T35" s="23"/>
      <c r="U35" s="23"/>
      <c r="V35" s="23"/>
      <c r="W35" s="25" t="str">
        <f t="shared" si="2"/>
        <v/>
      </c>
      <c r="X35" s="22"/>
      <c r="Y35" s="22"/>
      <c r="Z35" s="22"/>
      <c r="AA35" s="22"/>
      <c r="AB35" s="22"/>
    </row>
    <row r="36" spans="1:28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3"/>
      <c r="M36" s="23"/>
      <c r="N36" s="23"/>
      <c r="O36" s="23"/>
      <c r="P36" s="23"/>
      <c r="Q36" s="23"/>
      <c r="R36" s="24" t="e">
        <f t="shared" si="0"/>
        <v>#DIV/0!</v>
      </c>
      <c r="S36" s="24" t="str">
        <f t="shared" si="1"/>
        <v/>
      </c>
      <c r="T36" s="23"/>
      <c r="U36" s="23"/>
      <c r="V36" s="23"/>
      <c r="W36" s="25" t="str">
        <f t="shared" si="2"/>
        <v/>
      </c>
      <c r="X36" s="22"/>
      <c r="Y36" s="22"/>
      <c r="Z36" s="22"/>
      <c r="AA36" s="22"/>
      <c r="AB36" s="22"/>
    </row>
    <row r="37" spans="1:28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3"/>
      <c r="M37" s="23"/>
      <c r="N37" s="23"/>
      <c r="O37" s="23"/>
      <c r="P37" s="23"/>
      <c r="Q37" s="23"/>
      <c r="R37" s="24" t="e">
        <f t="shared" si="0"/>
        <v>#DIV/0!</v>
      </c>
      <c r="S37" s="24" t="str">
        <f t="shared" si="1"/>
        <v/>
      </c>
      <c r="T37" s="23"/>
      <c r="U37" s="23"/>
      <c r="V37" s="23"/>
      <c r="W37" s="25" t="str">
        <f t="shared" si="2"/>
        <v/>
      </c>
      <c r="X37" s="22"/>
      <c r="Y37" s="22"/>
      <c r="Z37" s="22"/>
      <c r="AA37" s="22"/>
      <c r="AB37" s="22"/>
    </row>
    <row r="38" spans="1:2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  <c r="M38" s="23"/>
      <c r="N38" s="23"/>
      <c r="O38" s="23"/>
      <c r="P38" s="23"/>
      <c r="Q38" s="23"/>
      <c r="R38" s="24" t="e">
        <f t="shared" si="0"/>
        <v>#DIV/0!</v>
      </c>
      <c r="S38" s="24" t="str">
        <f t="shared" si="1"/>
        <v/>
      </c>
      <c r="T38" s="23"/>
      <c r="U38" s="23"/>
      <c r="V38" s="23"/>
      <c r="W38" s="25" t="str">
        <f t="shared" si="2"/>
        <v/>
      </c>
      <c r="X38" s="22"/>
      <c r="Y38" s="22"/>
      <c r="Z38" s="22"/>
      <c r="AA38" s="22"/>
      <c r="AB38" s="22"/>
    </row>
    <row r="39" spans="1:28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3"/>
      <c r="M39" s="23"/>
      <c r="N39" s="23"/>
      <c r="O39" s="23"/>
      <c r="P39" s="23"/>
      <c r="Q39" s="23"/>
      <c r="R39" s="24" t="e">
        <f t="shared" si="0"/>
        <v>#DIV/0!</v>
      </c>
      <c r="S39" s="24" t="str">
        <f t="shared" si="1"/>
        <v/>
      </c>
      <c r="T39" s="23"/>
      <c r="U39" s="23"/>
      <c r="V39" s="23"/>
      <c r="W39" s="25" t="str">
        <f t="shared" si="2"/>
        <v/>
      </c>
      <c r="X39" s="22"/>
      <c r="Y39" s="22"/>
      <c r="Z39" s="22"/>
      <c r="AA39" s="22"/>
      <c r="AB39" s="22"/>
    </row>
    <row r="40" spans="1:28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3"/>
      <c r="M40" s="23"/>
      <c r="N40" s="23"/>
      <c r="O40" s="23"/>
      <c r="P40" s="23"/>
      <c r="Q40" s="23"/>
      <c r="R40" s="24" t="e">
        <f t="shared" si="0"/>
        <v>#DIV/0!</v>
      </c>
      <c r="S40" s="24" t="str">
        <f t="shared" si="1"/>
        <v/>
      </c>
      <c r="T40" s="23"/>
      <c r="U40" s="23"/>
      <c r="V40" s="23"/>
      <c r="W40" s="25" t="str">
        <f t="shared" si="2"/>
        <v/>
      </c>
      <c r="X40" s="22"/>
      <c r="Y40" s="22"/>
      <c r="Z40" s="22"/>
      <c r="AA40" s="22"/>
      <c r="AB40" s="22"/>
    </row>
    <row r="41" spans="1:28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3"/>
      <c r="M41" s="23"/>
      <c r="N41" s="23"/>
      <c r="O41" s="23"/>
      <c r="P41" s="23"/>
      <c r="Q41" s="23"/>
      <c r="R41" s="24" t="e">
        <f t="shared" si="0"/>
        <v>#DIV/0!</v>
      </c>
      <c r="S41" s="24" t="str">
        <f t="shared" si="1"/>
        <v/>
      </c>
      <c r="T41" s="23"/>
      <c r="U41" s="23"/>
      <c r="V41" s="23"/>
      <c r="W41" s="25" t="str">
        <f t="shared" si="2"/>
        <v/>
      </c>
      <c r="X41" s="22"/>
      <c r="Y41" s="22"/>
      <c r="Z41" s="22"/>
      <c r="AA41" s="22"/>
      <c r="AB41" s="22"/>
    </row>
    <row r="42" spans="1:28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3"/>
      <c r="M42" s="23"/>
      <c r="N42" s="23"/>
      <c r="O42" s="23"/>
      <c r="P42" s="23"/>
      <c r="Q42" s="23"/>
      <c r="R42" s="24" t="str">
        <f t="shared" ref="R42:R64" si="3">IFERROR(AVERAGE(O42,P42,Q42),"")</f>
        <v/>
      </c>
      <c r="S42" s="24" t="str">
        <f t="shared" ref="S42:S64" si="4">IF(E42="","",IFERROR((INDEX($R$5:$R$64,MATCH(E42,$A$5:$A$64,0))-R42)/INDEX($R$5:$R$64,MATCH(E42,$A$5:$A$64,0))*100,""))</f>
        <v/>
      </c>
      <c r="T42" s="23"/>
      <c r="U42" s="23"/>
      <c r="V42" s="23"/>
      <c r="W42" s="25" t="str">
        <f t="shared" ref="W42:W64" si="5">IFERROR(1000/T42,"")</f>
        <v/>
      </c>
      <c r="X42" s="22"/>
      <c r="Y42" s="22"/>
      <c r="Z42" s="22"/>
      <c r="AA42" s="22"/>
      <c r="AB42" s="22"/>
    </row>
    <row r="43" spans="1:28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3"/>
      <c r="M43" s="23"/>
      <c r="N43" s="23"/>
      <c r="O43" s="23"/>
      <c r="P43" s="23"/>
      <c r="Q43" s="23"/>
      <c r="R43" s="24" t="str">
        <f t="shared" si="3"/>
        <v/>
      </c>
      <c r="S43" s="24" t="str">
        <f t="shared" si="4"/>
        <v/>
      </c>
      <c r="T43" s="23"/>
      <c r="U43" s="23"/>
      <c r="V43" s="23"/>
      <c r="W43" s="25" t="str">
        <f t="shared" si="5"/>
        <v/>
      </c>
      <c r="X43" s="22"/>
      <c r="Y43" s="22"/>
      <c r="Z43" s="22"/>
      <c r="AA43" s="22"/>
      <c r="AB43" s="22"/>
    </row>
    <row r="44" spans="1:28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3"/>
      <c r="M44" s="23"/>
      <c r="N44" s="23"/>
      <c r="O44" s="23"/>
      <c r="P44" s="23"/>
      <c r="Q44" s="23"/>
      <c r="R44" s="24" t="str">
        <f t="shared" si="3"/>
        <v/>
      </c>
      <c r="S44" s="24" t="str">
        <f t="shared" si="4"/>
        <v/>
      </c>
      <c r="T44" s="23"/>
      <c r="U44" s="23"/>
      <c r="V44" s="23"/>
      <c r="W44" s="25" t="str">
        <f t="shared" si="5"/>
        <v/>
      </c>
      <c r="X44" s="22"/>
      <c r="Y44" s="22"/>
      <c r="Z44" s="22"/>
      <c r="AA44" s="22"/>
      <c r="AB44" s="22"/>
    </row>
    <row r="45" spans="1:28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3"/>
      <c r="M45" s="23"/>
      <c r="N45" s="23"/>
      <c r="O45" s="23"/>
      <c r="P45" s="23"/>
      <c r="Q45" s="23"/>
      <c r="R45" s="24" t="str">
        <f t="shared" si="3"/>
        <v/>
      </c>
      <c r="S45" s="24" t="str">
        <f t="shared" si="4"/>
        <v/>
      </c>
      <c r="T45" s="23"/>
      <c r="U45" s="23"/>
      <c r="V45" s="23"/>
      <c r="W45" s="25" t="str">
        <f t="shared" si="5"/>
        <v/>
      </c>
      <c r="X45" s="22"/>
      <c r="Y45" s="22"/>
      <c r="Z45" s="22"/>
      <c r="AA45" s="22"/>
      <c r="AB45" s="22"/>
    </row>
    <row r="46" spans="1:28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3"/>
      <c r="M46" s="23"/>
      <c r="N46" s="23"/>
      <c r="O46" s="23"/>
      <c r="P46" s="23"/>
      <c r="Q46" s="23"/>
      <c r="R46" s="24" t="str">
        <f t="shared" si="3"/>
        <v/>
      </c>
      <c r="S46" s="24" t="str">
        <f t="shared" si="4"/>
        <v/>
      </c>
      <c r="T46" s="23"/>
      <c r="U46" s="23"/>
      <c r="V46" s="23"/>
      <c r="W46" s="25" t="str">
        <f t="shared" si="5"/>
        <v/>
      </c>
      <c r="X46" s="22"/>
      <c r="Y46" s="22"/>
      <c r="Z46" s="22"/>
      <c r="AA46" s="22"/>
      <c r="AB46" s="22"/>
    </row>
    <row r="47" spans="1:28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3"/>
      <c r="M47" s="23"/>
      <c r="N47" s="23"/>
      <c r="O47" s="23"/>
      <c r="P47" s="23"/>
      <c r="Q47" s="23"/>
      <c r="R47" s="24" t="str">
        <f t="shared" si="3"/>
        <v/>
      </c>
      <c r="S47" s="24" t="str">
        <f t="shared" si="4"/>
        <v/>
      </c>
      <c r="T47" s="23"/>
      <c r="U47" s="23"/>
      <c r="V47" s="23"/>
      <c r="W47" s="25" t="str">
        <f t="shared" si="5"/>
        <v/>
      </c>
      <c r="X47" s="22"/>
      <c r="Y47" s="22"/>
      <c r="Z47" s="22"/>
      <c r="AA47" s="22"/>
      <c r="AB47" s="22"/>
    </row>
    <row r="48" spans="1:2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3"/>
      <c r="M48" s="23"/>
      <c r="N48" s="23"/>
      <c r="O48" s="23"/>
      <c r="P48" s="23"/>
      <c r="Q48" s="23"/>
      <c r="R48" s="24" t="str">
        <f t="shared" si="3"/>
        <v/>
      </c>
      <c r="S48" s="24" t="str">
        <f t="shared" si="4"/>
        <v/>
      </c>
      <c r="T48" s="23"/>
      <c r="U48" s="23"/>
      <c r="V48" s="23"/>
      <c r="W48" s="25" t="str">
        <f t="shared" si="5"/>
        <v/>
      </c>
      <c r="X48" s="22"/>
      <c r="Y48" s="22"/>
      <c r="Z48" s="22"/>
      <c r="AA48" s="22"/>
      <c r="AB48" s="22"/>
    </row>
    <row r="49" spans="1:28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3"/>
      <c r="M49" s="23"/>
      <c r="N49" s="23"/>
      <c r="O49" s="23"/>
      <c r="P49" s="23"/>
      <c r="Q49" s="23"/>
      <c r="R49" s="24" t="str">
        <f t="shared" si="3"/>
        <v/>
      </c>
      <c r="S49" s="24" t="str">
        <f t="shared" si="4"/>
        <v/>
      </c>
      <c r="T49" s="23"/>
      <c r="U49" s="23"/>
      <c r="V49" s="23"/>
      <c r="W49" s="25" t="str">
        <f t="shared" si="5"/>
        <v/>
      </c>
      <c r="X49" s="22"/>
      <c r="Y49" s="22"/>
      <c r="Z49" s="22"/>
      <c r="AA49" s="22"/>
      <c r="AB49" s="22"/>
    </row>
    <row r="50" spans="1:28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3"/>
      <c r="M50" s="23"/>
      <c r="N50" s="23"/>
      <c r="O50" s="23"/>
      <c r="P50" s="23"/>
      <c r="Q50" s="23"/>
      <c r="R50" s="24" t="str">
        <f t="shared" si="3"/>
        <v/>
      </c>
      <c r="S50" s="24" t="str">
        <f t="shared" si="4"/>
        <v/>
      </c>
      <c r="T50" s="23"/>
      <c r="U50" s="23"/>
      <c r="V50" s="23"/>
      <c r="W50" s="25" t="str">
        <f t="shared" si="5"/>
        <v/>
      </c>
      <c r="X50" s="22"/>
      <c r="Y50" s="22"/>
      <c r="Z50" s="22"/>
      <c r="AA50" s="22"/>
      <c r="AB50" s="22"/>
    </row>
    <row r="51" spans="1:28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3"/>
      <c r="M51" s="23"/>
      <c r="N51" s="23"/>
      <c r="O51" s="23"/>
      <c r="P51" s="23"/>
      <c r="Q51" s="23"/>
      <c r="R51" s="24" t="str">
        <f t="shared" si="3"/>
        <v/>
      </c>
      <c r="S51" s="24" t="str">
        <f t="shared" si="4"/>
        <v/>
      </c>
      <c r="T51" s="23"/>
      <c r="U51" s="23"/>
      <c r="V51" s="23"/>
      <c r="W51" s="25" t="str">
        <f t="shared" si="5"/>
        <v/>
      </c>
      <c r="X51" s="22"/>
      <c r="Y51" s="22"/>
      <c r="Z51" s="22"/>
      <c r="AA51" s="22"/>
      <c r="AB51" s="22"/>
    </row>
    <row r="52" spans="1:28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3"/>
      <c r="M52" s="23"/>
      <c r="N52" s="23"/>
      <c r="O52" s="23"/>
      <c r="P52" s="23"/>
      <c r="Q52" s="23"/>
      <c r="R52" s="24" t="str">
        <f t="shared" si="3"/>
        <v/>
      </c>
      <c r="S52" s="24" t="str">
        <f t="shared" si="4"/>
        <v/>
      </c>
      <c r="T52" s="23"/>
      <c r="U52" s="23"/>
      <c r="V52" s="23"/>
      <c r="W52" s="25" t="str">
        <f t="shared" si="5"/>
        <v/>
      </c>
      <c r="X52" s="22"/>
      <c r="Y52" s="22"/>
      <c r="Z52" s="22"/>
      <c r="AA52" s="22"/>
      <c r="AB52" s="22"/>
    </row>
    <row r="53" spans="1:28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3"/>
      <c r="M53" s="23"/>
      <c r="N53" s="23"/>
      <c r="O53" s="23"/>
      <c r="P53" s="23"/>
      <c r="Q53" s="23"/>
      <c r="R53" s="24" t="str">
        <f t="shared" si="3"/>
        <v/>
      </c>
      <c r="S53" s="24" t="str">
        <f t="shared" si="4"/>
        <v/>
      </c>
      <c r="T53" s="23"/>
      <c r="U53" s="23"/>
      <c r="V53" s="23"/>
      <c r="W53" s="25" t="str">
        <f t="shared" si="5"/>
        <v/>
      </c>
      <c r="X53" s="22"/>
      <c r="Y53" s="22"/>
      <c r="Z53" s="22"/>
      <c r="AA53" s="22"/>
      <c r="AB53" s="22"/>
    </row>
    <row r="54" spans="1:28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3"/>
      <c r="M54" s="23"/>
      <c r="N54" s="23"/>
      <c r="O54" s="23"/>
      <c r="P54" s="23"/>
      <c r="Q54" s="23"/>
      <c r="R54" s="24" t="str">
        <f t="shared" si="3"/>
        <v/>
      </c>
      <c r="S54" s="24" t="str">
        <f t="shared" si="4"/>
        <v/>
      </c>
      <c r="T54" s="23"/>
      <c r="U54" s="23"/>
      <c r="V54" s="23"/>
      <c r="W54" s="25" t="str">
        <f t="shared" si="5"/>
        <v/>
      </c>
      <c r="X54" s="22"/>
      <c r="Y54" s="22"/>
      <c r="Z54" s="22"/>
      <c r="AA54" s="22"/>
      <c r="AB54" s="22"/>
    </row>
    <row r="55" spans="1:28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3"/>
      <c r="M55" s="23"/>
      <c r="N55" s="23"/>
      <c r="O55" s="23"/>
      <c r="P55" s="23"/>
      <c r="Q55" s="23"/>
      <c r="R55" s="24" t="str">
        <f t="shared" si="3"/>
        <v/>
      </c>
      <c r="S55" s="24" t="str">
        <f t="shared" si="4"/>
        <v/>
      </c>
      <c r="T55" s="23"/>
      <c r="U55" s="23"/>
      <c r="V55" s="23"/>
      <c r="W55" s="25" t="str">
        <f t="shared" si="5"/>
        <v/>
      </c>
      <c r="X55" s="22"/>
      <c r="Y55" s="22"/>
      <c r="Z55" s="22"/>
      <c r="AA55" s="22"/>
      <c r="AB55" s="22"/>
    </row>
    <row r="56" spans="1:28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3"/>
      <c r="M56" s="23"/>
      <c r="N56" s="23"/>
      <c r="O56" s="23"/>
      <c r="P56" s="23"/>
      <c r="Q56" s="23"/>
      <c r="R56" s="24" t="str">
        <f t="shared" si="3"/>
        <v/>
      </c>
      <c r="S56" s="24" t="str">
        <f t="shared" si="4"/>
        <v/>
      </c>
      <c r="T56" s="23"/>
      <c r="U56" s="23"/>
      <c r="V56" s="23"/>
      <c r="W56" s="25" t="str">
        <f t="shared" si="5"/>
        <v/>
      </c>
      <c r="X56" s="22"/>
      <c r="Y56" s="22"/>
      <c r="Z56" s="22"/>
      <c r="AA56" s="22"/>
      <c r="AB56" s="22"/>
    </row>
    <row r="57" spans="1:28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3"/>
      <c r="M57" s="23"/>
      <c r="N57" s="23"/>
      <c r="O57" s="23"/>
      <c r="P57" s="23"/>
      <c r="Q57" s="23"/>
      <c r="R57" s="24" t="str">
        <f t="shared" si="3"/>
        <v/>
      </c>
      <c r="S57" s="24" t="str">
        <f t="shared" si="4"/>
        <v/>
      </c>
      <c r="T57" s="23"/>
      <c r="U57" s="23"/>
      <c r="V57" s="23"/>
      <c r="W57" s="25" t="str">
        <f t="shared" si="5"/>
        <v/>
      </c>
      <c r="X57" s="22"/>
      <c r="Y57" s="22"/>
      <c r="Z57" s="22"/>
      <c r="AA57" s="22"/>
      <c r="AB57" s="22"/>
    </row>
    <row r="58" spans="1:2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3"/>
      <c r="M58" s="23"/>
      <c r="N58" s="23"/>
      <c r="O58" s="23"/>
      <c r="P58" s="23"/>
      <c r="Q58" s="23"/>
      <c r="R58" s="24" t="str">
        <f t="shared" si="3"/>
        <v/>
      </c>
      <c r="S58" s="24" t="str">
        <f t="shared" si="4"/>
        <v/>
      </c>
      <c r="T58" s="23"/>
      <c r="U58" s="23"/>
      <c r="V58" s="23"/>
      <c r="W58" s="25" t="str">
        <f t="shared" si="5"/>
        <v/>
      </c>
      <c r="X58" s="22"/>
      <c r="Y58" s="22"/>
      <c r="Z58" s="22"/>
      <c r="AA58" s="22"/>
      <c r="AB58" s="22"/>
    </row>
    <row r="59" spans="1:28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3"/>
      <c r="M59" s="23"/>
      <c r="N59" s="23"/>
      <c r="O59" s="23"/>
      <c r="P59" s="23"/>
      <c r="Q59" s="23"/>
      <c r="R59" s="24" t="str">
        <f t="shared" si="3"/>
        <v/>
      </c>
      <c r="S59" s="24" t="str">
        <f t="shared" si="4"/>
        <v/>
      </c>
      <c r="T59" s="23"/>
      <c r="U59" s="23"/>
      <c r="V59" s="23"/>
      <c r="W59" s="25" t="str">
        <f t="shared" si="5"/>
        <v/>
      </c>
      <c r="X59" s="22"/>
      <c r="Y59" s="22"/>
      <c r="Z59" s="22"/>
      <c r="AA59" s="22"/>
      <c r="AB59" s="22"/>
    </row>
    <row r="60" spans="1:28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3"/>
      <c r="M60" s="23"/>
      <c r="N60" s="23"/>
      <c r="O60" s="23"/>
      <c r="P60" s="23"/>
      <c r="Q60" s="23"/>
      <c r="R60" s="24" t="str">
        <f t="shared" si="3"/>
        <v/>
      </c>
      <c r="S60" s="24" t="str">
        <f t="shared" si="4"/>
        <v/>
      </c>
      <c r="T60" s="23"/>
      <c r="U60" s="23"/>
      <c r="V60" s="23"/>
      <c r="W60" s="25" t="str">
        <f t="shared" si="5"/>
        <v/>
      </c>
      <c r="X60" s="22"/>
      <c r="Y60" s="22"/>
      <c r="Z60" s="22"/>
      <c r="AA60" s="22"/>
      <c r="AB60" s="22"/>
    </row>
    <row r="61" spans="1:28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3"/>
      <c r="M61" s="23"/>
      <c r="N61" s="23"/>
      <c r="O61" s="23"/>
      <c r="P61" s="23"/>
      <c r="Q61" s="23"/>
      <c r="R61" s="24" t="str">
        <f t="shared" si="3"/>
        <v/>
      </c>
      <c r="S61" s="24" t="str">
        <f t="shared" si="4"/>
        <v/>
      </c>
      <c r="T61" s="23"/>
      <c r="U61" s="23"/>
      <c r="V61" s="23"/>
      <c r="W61" s="25" t="str">
        <f t="shared" si="5"/>
        <v/>
      </c>
      <c r="X61" s="22"/>
      <c r="Y61" s="22"/>
      <c r="Z61" s="22"/>
      <c r="AA61" s="22"/>
      <c r="AB61" s="22"/>
    </row>
    <row r="62" spans="1:28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3"/>
      <c r="M62" s="23"/>
      <c r="N62" s="23"/>
      <c r="O62" s="23"/>
      <c r="P62" s="23"/>
      <c r="Q62" s="23"/>
      <c r="R62" s="24" t="str">
        <f t="shared" si="3"/>
        <v/>
      </c>
      <c r="S62" s="24" t="str">
        <f t="shared" si="4"/>
        <v/>
      </c>
      <c r="T62" s="23"/>
      <c r="U62" s="23"/>
      <c r="V62" s="23"/>
      <c r="W62" s="25" t="str">
        <f t="shared" si="5"/>
        <v/>
      </c>
      <c r="X62" s="22"/>
      <c r="Y62" s="22"/>
      <c r="Z62" s="22"/>
      <c r="AA62" s="22"/>
      <c r="AB62" s="22"/>
    </row>
    <row r="63" spans="1:28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3"/>
      <c r="M63" s="23"/>
      <c r="N63" s="23"/>
      <c r="O63" s="23"/>
      <c r="P63" s="23"/>
      <c r="Q63" s="23"/>
      <c r="R63" s="24" t="str">
        <f t="shared" si="3"/>
        <v/>
      </c>
      <c r="S63" s="24" t="str">
        <f t="shared" si="4"/>
        <v/>
      </c>
      <c r="T63" s="23"/>
      <c r="U63" s="23"/>
      <c r="V63" s="23"/>
      <c r="W63" s="25" t="str">
        <f t="shared" si="5"/>
        <v/>
      </c>
      <c r="X63" s="22"/>
      <c r="Y63" s="22"/>
      <c r="Z63" s="22"/>
      <c r="AA63" s="22"/>
      <c r="AB63" s="22"/>
    </row>
    <row r="64" spans="1:28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3"/>
      <c r="M64" s="23"/>
      <c r="N64" s="23"/>
      <c r="O64" s="23"/>
      <c r="P64" s="23"/>
      <c r="Q64" s="23"/>
      <c r="R64" s="24" t="str">
        <f t="shared" si="3"/>
        <v/>
      </c>
      <c r="S64" s="24" t="str">
        <f t="shared" si="4"/>
        <v/>
      </c>
      <c r="T64" s="23"/>
      <c r="U64" s="23"/>
      <c r="V64" s="23"/>
      <c r="W64" s="25" t="str">
        <f t="shared" si="5"/>
        <v/>
      </c>
      <c r="X64" s="22"/>
      <c r="Y64" s="22"/>
      <c r="Z64" s="22"/>
      <c r="AA64" s="22"/>
      <c r="AB64" s="22"/>
    </row>
  </sheetData>
  <phoneticPr fontId="2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E20"/>
  <sheetViews>
    <sheetView workbookViewId="0"/>
  </sheetViews>
  <sheetFormatPr defaultColWidth="8.6328125" defaultRowHeight="14.5"/>
  <cols>
    <col min="1" max="1" width="20" customWidth="1"/>
    <col min="2" max="4" width="13" customWidth="1"/>
    <col min="5" max="5" width="40" customWidth="1"/>
  </cols>
  <sheetData>
    <row r="1" spans="1:5" ht="18">
      <c r="A1" s="1" t="s">
        <v>175</v>
      </c>
    </row>
    <row r="2" spans="1:5">
      <c r="A2" s="9" t="s">
        <v>176</v>
      </c>
    </row>
    <row r="4" spans="1:5">
      <c r="A4" s="4" t="s">
        <v>177</v>
      </c>
      <c r="B4" s="13" t="s">
        <v>238</v>
      </c>
    </row>
    <row r="5" spans="1:5">
      <c r="A5" s="4" t="s">
        <v>178</v>
      </c>
      <c r="B5" s="13" t="s">
        <v>241</v>
      </c>
    </row>
    <row r="7" spans="1:5">
      <c r="A7" s="26" t="s">
        <v>179</v>
      </c>
      <c r="B7" s="27" t="s">
        <v>180</v>
      </c>
      <c r="C7" s="26" t="s">
        <v>181</v>
      </c>
      <c r="D7" s="26" t="s">
        <v>182</v>
      </c>
      <c r="E7" s="26" t="s">
        <v>183</v>
      </c>
    </row>
    <row r="8" spans="1:5">
      <c r="A8" s="28" t="s">
        <v>140</v>
      </c>
      <c r="B8" s="29">
        <f>IFERROR(INDEX(실험로그!$R$5:$R$64,MATCH($B$4,실험로그!$A$5:$A$64,0)),"")</f>
        <v>91.102426387757177</v>
      </c>
      <c r="C8" s="29">
        <f>IFERROR(INDEX(실험로그!$R$5:$R$64,MATCH($B$5,실험로그!$A$5:$A$64,0)),"")</f>
        <v>88.247224658683947</v>
      </c>
      <c r="D8" s="29">
        <f t="shared" ref="D8:D18" si="0">IFERROR((C8-B8)/B8*100,"")</f>
        <v>-3.1340567340332948</v>
      </c>
      <c r="E8" s="30" t="s">
        <v>184</v>
      </c>
    </row>
    <row r="9" spans="1:5">
      <c r="A9" s="28" t="s">
        <v>137</v>
      </c>
      <c r="B9" s="29">
        <f>IFERROR(INDEX(실험로그!$O$5:$O$64,MATCH($B$4,실험로그!$A$5:$A$64,0)),"")</f>
        <v>97.684294710942595</v>
      </c>
      <c r="C9" s="29">
        <f>IFERROR(INDEX(실험로그!$O$5:$O$64,MATCH($B$5,실험로그!$A$5:$A$64,0)),"")</f>
        <v>95.18345015622333</v>
      </c>
      <c r="D9" s="29">
        <f t="shared" si="0"/>
        <v>-2.5601296115404315</v>
      </c>
      <c r="E9" s="30" t="s">
        <v>185</v>
      </c>
    </row>
    <row r="10" spans="1:5">
      <c r="A10" s="28" t="s">
        <v>186</v>
      </c>
      <c r="B10" s="29">
        <f>IFERROR(INDEX(실험로그!$P$5:$P$64,MATCH($B$4,실험로그!$A$5:$A$64,0)),"")</f>
        <v>84.662480469125498</v>
      </c>
      <c r="C10" s="29">
        <f>IFERROR(INDEX(실험로그!$P$5:$P$64,MATCH($B$5,실험로그!$A$5:$A$64,0)),"")</f>
        <v>82.214196315685726</v>
      </c>
      <c r="D10" s="29">
        <f t="shared" si="0"/>
        <v>-2.8918171778968915</v>
      </c>
      <c r="E10" s="30" t="s">
        <v>187</v>
      </c>
    </row>
    <row r="11" spans="1:5">
      <c r="A11" s="28" t="s">
        <v>188</v>
      </c>
      <c r="B11" s="29">
        <f>IFERROR(INDEX(실험로그!$Q$5:$Q$64,MATCH($B$4,실험로그!$A$5:$A$64,0)),"")</f>
        <v>90.960503983203395</v>
      </c>
      <c r="C11" s="29">
        <f>IFERROR(INDEX(실험로그!$Q$5:$Q$64,MATCH($B$5,실험로그!$A$5:$A$64,0)),"")</f>
        <v>87.344027504142801</v>
      </c>
      <c r="D11" s="29">
        <f t="shared" si="0"/>
        <v>-3.9758755951136844</v>
      </c>
      <c r="E11" s="30" t="s">
        <v>189</v>
      </c>
    </row>
    <row r="12" spans="1:5">
      <c r="A12" s="28" t="s">
        <v>134</v>
      </c>
      <c r="B12" s="29">
        <f>IFERROR(INDEX(실험로그!$L$5:$L$64,MATCH($B$4,실험로그!$A$5:$A$64,0)),"")</f>
        <v>11.136761</v>
      </c>
      <c r="C12" s="29">
        <f>IFERROR(INDEX(실험로그!$L$5:$L$64,MATCH($B$5,실험로그!$A$5:$A$64,0)),"")</f>
        <v>11.136761</v>
      </c>
      <c r="D12" s="29">
        <f t="shared" si="0"/>
        <v>0</v>
      </c>
      <c r="E12" s="30" t="s">
        <v>190</v>
      </c>
    </row>
    <row r="13" spans="1:5">
      <c r="A13" s="28" t="s">
        <v>135</v>
      </c>
      <c r="B13" s="29">
        <f>IFERROR(INDEX(실험로그!$M$5:$M$64,MATCH($B$4,실험로그!$A$5:$A$64,0)),"")</f>
        <v>28.646348799999998</v>
      </c>
      <c r="C13" s="29">
        <f>IFERROR(INDEX(실험로그!$M$5:$M$64,MATCH($B$5,실험로그!$A$5:$A$64,0)),"")</f>
        <v>28.646348799999998</v>
      </c>
      <c r="D13" s="29">
        <f t="shared" si="0"/>
        <v>0</v>
      </c>
      <c r="E13" s="31" t="s">
        <v>191</v>
      </c>
    </row>
    <row r="14" spans="1:5">
      <c r="A14" s="32" t="s">
        <v>192</v>
      </c>
      <c r="B14" s="29">
        <f>IFERROR(INDEX(실험로그!$N$5:$N$64,MATCH($B$4,실험로그!$A$5:$A$64,0)),"")</f>
        <v>44.738553000000003</v>
      </c>
      <c r="C14" s="29">
        <f>IFERROR(INDEX(실험로그!$N$5:$N$64,MATCH($B$5,실험로그!$A$5:$A$64,0)),"")</f>
        <v>11.64753</v>
      </c>
      <c r="D14" s="29">
        <f t="shared" si="0"/>
        <v>-73.965340363153913</v>
      </c>
      <c r="E14" s="30" t="s">
        <v>193</v>
      </c>
    </row>
    <row r="15" spans="1:5">
      <c r="A15" s="28" t="s">
        <v>142</v>
      </c>
      <c r="B15" s="29">
        <f>IFERROR(INDEX(실험로그!$T$5:$T$64,MATCH($B$4,실험로그!$A$5:$A$64,0)),"")</f>
        <v>305.69385000126204</v>
      </c>
      <c r="C15" s="29">
        <f>IFERROR(INDEX(실험로그!$T$5:$T$64,MATCH($B$5,실험로그!$A$5:$A$64,0)),"")</f>
        <v>404.62920000572922</v>
      </c>
      <c r="D15" s="29">
        <f t="shared" si="0"/>
        <v>32.364193785402854</v>
      </c>
      <c r="E15" s="30" t="s">
        <v>194</v>
      </c>
    </row>
    <row r="16" spans="1:5">
      <c r="A16" s="28" t="s">
        <v>143</v>
      </c>
      <c r="B16" s="29">
        <f>IFERROR(INDEX(실험로그!$U$5:$U$64,MATCH($B$4,실험로그!$A$5:$A$64,0)),"")</f>
        <v>310.18840500400984</v>
      </c>
      <c r="C16" s="29">
        <f>IFERROR(INDEX(실험로그!$U$5:$U$64,MATCH($B$5,실험로그!$A$5:$A$64,0)),"")</f>
        <v>409.93722999555757</v>
      </c>
      <c r="D16" s="29">
        <f t="shared" si="0"/>
        <v>32.157496341701837</v>
      </c>
      <c r="E16" s="30" t="s">
        <v>195</v>
      </c>
    </row>
    <row r="17" spans="1:5">
      <c r="A17" s="28" t="s">
        <v>145</v>
      </c>
      <c r="B17" s="29">
        <f>IFERROR(INDEX(실험로그!$W$5:$W$64,MATCH($B$4,실험로그!$A$5:$A$64,0)),"")</f>
        <v>3.2712467064544204</v>
      </c>
      <c r="C17" s="29">
        <f>IFERROR(INDEX(실험로그!$W$5:$W$64,MATCH($B$5,실험로그!$A$5:$A$64,0)),"")</f>
        <v>2.4713985050654794</v>
      </c>
      <c r="D17" s="29">
        <f t="shared" si="0"/>
        <v>-24.450867609917012</v>
      </c>
      <c r="E17" s="31" t="s">
        <v>196</v>
      </c>
    </row>
    <row r="18" spans="1:5">
      <c r="A18" s="28" t="s">
        <v>146</v>
      </c>
      <c r="B18" s="29">
        <f>IFERROR(INDEX(실험로그!$X$5:$X$64,MATCH($B$4,실험로그!$A$5:$A$64,0)),"")</f>
        <v>773.26336000000003</v>
      </c>
      <c r="C18" s="29">
        <f>IFERROR(INDEX(실험로그!$X$5:$X$64,MATCH($B$5,실험로그!$A$5:$A$64,0)),"")</f>
        <v>763.60089600000003</v>
      </c>
      <c r="D18" s="29">
        <f t="shared" si="0"/>
        <v>-1.2495696162301029</v>
      </c>
      <c r="E18" s="30" t="s">
        <v>194</v>
      </c>
    </row>
    <row r="20" spans="1:5">
      <c r="A20" s="2" t="s">
        <v>197</v>
      </c>
    </row>
  </sheetData>
  <phoneticPr fontId="2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204"/>
  <sheetViews>
    <sheetView showGridLines="0" workbookViewId="0">
      <pane ySplit="4" topLeftCell="A5" activePane="bottomLeft" state="frozen"/>
      <selection pane="bottomLeft"/>
    </sheetView>
  </sheetViews>
  <sheetFormatPr defaultRowHeight="14.5"/>
  <cols>
    <col min="1" max="3" width="25" customWidth="1"/>
    <col min="4" max="25" width="17" customWidth="1"/>
    <col min="26" max="28" width="30" customWidth="1"/>
    <col min="29" max="30" width="17" customWidth="1"/>
  </cols>
  <sheetData>
    <row r="1" spans="1:30">
      <c r="A1" t="s">
        <v>198</v>
      </c>
    </row>
    <row r="2" spans="1:30">
      <c r="A2" t="s">
        <v>199</v>
      </c>
    </row>
    <row r="3" spans="1:30">
      <c r="A3" t="s">
        <v>200</v>
      </c>
    </row>
    <row r="4" spans="1:30" ht="42" customHeight="1">
      <c r="A4" s="33" t="s">
        <v>201</v>
      </c>
      <c r="B4" s="33" t="s">
        <v>202</v>
      </c>
      <c r="C4" s="33" t="s">
        <v>203</v>
      </c>
      <c r="D4" s="33" t="s">
        <v>204</v>
      </c>
      <c r="E4" s="33" t="s">
        <v>205</v>
      </c>
      <c r="F4" s="33" t="s">
        <v>206</v>
      </c>
      <c r="G4" s="33" t="s">
        <v>141</v>
      </c>
      <c r="H4" s="33" t="s">
        <v>207</v>
      </c>
      <c r="I4" s="33" t="s">
        <v>208</v>
      </c>
      <c r="J4" s="33" t="s">
        <v>209</v>
      </c>
      <c r="K4" s="33" t="s">
        <v>210</v>
      </c>
      <c r="L4" s="33" t="s">
        <v>211</v>
      </c>
      <c r="M4" s="33" t="s">
        <v>212</v>
      </c>
      <c r="N4" s="33" t="s">
        <v>213</v>
      </c>
      <c r="O4" s="33" t="s">
        <v>214</v>
      </c>
      <c r="P4" s="33" t="s">
        <v>215</v>
      </c>
      <c r="Q4" s="33" t="s">
        <v>216</v>
      </c>
      <c r="R4" s="33" t="s">
        <v>217</v>
      </c>
      <c r="S4" s="33" t="s">
        <v>218</v>
      </c>
      <c r="T4" s="33" t="s">
        <v>219</v>
      </c>
      <c r="U4" s="33" t="s">
        <v>220</v>
      </c>
      <c r="V4" s="33" t="s">
        <v>221</v>
      </c>
      <c r="W4" s="33" t="s">
        <v>222</v>
      </c>
      <c r="X4" s="33" t="s">
        <v>223</v>
      </c>
      <c r="Y4" s="33" t="s">
        <v>224</v>
      </c>
      <c r="Z4" s="33" t="s">
        <v>225</v>
      </c>
      <c r="AA4" s="33" t="s">
        <v>226</v>
      </c>
      <c r="AB4" s="33" t="s">
        <v>227</v>
      </c>
      <c r="AC4" s="33" t="s">
        <v>228</v>
      </c>
      <c r="AD4" s="33" t="s">
        <v>229</v>
      </c>
    </row>
    <row r="5" spans="1:30">
      <c r="A5" t="s">
        <v>230</v>
      </c>
      <c r="B5" t="s">
        <v>162</v>
      </c>
      <c r="C5" t="s">
        <v>169</v>
      </c>
      <c r="D5" s="34">
        <v>19.717203429425318</v>
      </c>
      <c r="E5" s="34">
        <v>18.476279885606466</v>
      </c>
      <c r="F5" s="34">
        <f>IF(D5=0,"",E5/D5*100)</f>
        <v>93.706391739272021</v>
      </c>
      <c r="G5" s="34">
        <f>IF(D5=0,"",(D5-E5)/D5*100)</f>
        <v>6.2936082607279769</v>
      </c>
      <c r="H5" s="34">
        <v>-1.9620043273978069</v>
      </c>
      <c r="I5" s="34">
        <v>-1.5786449871986736</v>
      </c>
      <c r="J5" s="34">
        <v>-0.18212131686007571</v>
      </c>
      <c r="K5" s="34">
        <v>79.877799998939736</v>
      </c>
      <c r="L5" s="34">
        <v>107.83519999858981</v>
      </c>
      <c r="M5" s="34">
        <f>IF(K5=0,"",(K5-L5)/K5*100)</f>
        <v>-35.000212825116833</v>
      </c>
      <c r="N5" s="34">
        <v>747.22508800000003</v>
      </c>
      <c r="O5" s="34">
        <v>752.52940799999999</v>
      </c>
      <c r="P5" s="34">
        <f>IF(N5=0,"",(N5-O5)/N5*100)</f>
        <v>-0.70986909904180862</v>
      </c>
      <c r="Q5" s="34">
        <v>3.0114329999999998</v>
      </c>
      <c r="R5" s="34">
        <v>3.0114329999999998</v>
      </c>
      <c r="S5" s="34">
        <v>8.1938431999999999</v>
      </c>
      <c r="T5" s="34">
        <v>8.1938431999999999</v>
      </c>
      <c r="U5" s="34">
        <v>12.256346000000001</v>
      </c>
      <c r="V5" s="34">
        <v>3.4496669999999998</v>
      </c>
      <c r="W5" s="34">
        <f>IF(U5=0,"",(U5-V5)/U5*100)</f>
        <v>71.854033820520414</v>
      </c>
      <c r="X5" s="34">
        <v>86.04123500190326</v>
      </c>
      <c r="Y5" s="34">
        <v>116.37946000009832</v>
      </c>
      <c r="Z5" t="s">
        <v>97</v>
      </c>
      <c r="AA5" t="s">
        <v>231</v>
      </c>
      <c r="AB5" t="s">
        <v>232</v>
      </c>
      <c r="AC5">
        <f>R5-Q5</f>
        <v>0</v>
      </c>
      <c r="AD5">
        <f>IF(OR(S5="",T5=""),"",T5-S5)</f>
        <v>0</v>
      </c>
    </row>
    <row r="6" spans="1:30">
      <c r="A6" t="s">
        <v>233</v>
      </c>
      <c r="B6" t="s">
        <v>171</v>
      </c>
      <c r="C6" t="s">
        <v>174</v>
      </c>
      <c r="D6" s="34">
        <v>92.297592327873986</v>
      </c>
      <c r="E6" s="34">
        <v>88.017177938236685</v>
      </c>
      <c r="F6" s="34">
        <f>IF(D6=0,"",E6/D6*100)</f>
        <v>95.362376978987982</v>
      </c>
      <c r="G6" s="34">
        <f>IF(D6=0,"",(D6-E6)/D6*100)</f>
        <v>4.6376230210120122</v>
      </c>
      <c r="H6" s="34">
        <v>-5.1960864488666232</v>
      </c>
      <c r="I6" s="34">
        <v>-4.1249254979153562</v>
      </c>
      <c r="J6" s="34">
        <v>-3.5202312221299223</v>
      </c>
      <c r="K6" s="34">
        <v>551.31375000200933</v>
      </c>
      <c r="L6" s="34">
        <v>670.18090000055963</v>
      </c>
      <c r="M6" s="34">
        <f>IF(K6=0,"",(K6-L6)/K6*100)</f>
        <v>-21.560708398460417</v>
      </c>
      <c r="N6" s="34">
        <v>895.68460800000003</v>
      </c>
      <c r="O6" s="34">
        <v>873.13612799999999</v>
      </c>
      <c r="P6" s="34">
        <f>IF(N6=0,"",(N6-O6)/N6*100)</f>
        <v>2.5174575736373535</v>
      </c>
      <c r="Q6" s="34">
        <v>25.858056999999999</v>
      </c>
      <c r="R6" s="34">
        <v>25.858056999999999</v>
      </c>
      <c r="S6" s="34">
        <v>79.065292799999995</v>
      </c>
      <c r="T6" s="34">
        <v>79.065292799999995</v>
      </c>
      <c r="U6" s="34">
        <v>103.614946</v>
      </c>
      <c r="V6" s="34">
        <v>26.526184000000001</v>
      </c>
      <c r="W6" s="34">
        <f>IF(U6=0,"",(U6-V6)/U6*100)</f>
        <v>74.399268615166775</v>
      </c>
      <c r="X6" s="34">
        <v>558.90963500314683</v>
      </c>
      <c r="Y6" s="34">
        <v>1036.6443849969073</v>
      </c>
      <c r="Z6" t="s">
        <v>97</v>
      </c>
      <c r="AA6" t="s">
        <v>234</v>
      </c>
      <c r="AB6" t="s">
        <v>232</v>
      </c>
      <c r="AC6">
        <f>R6-Q6</f>
        <v>0</v>
      </c>
      <c r="AD6">
        <f>IF(OR(S6="",T6=""),"",T6-S6)</f>
        <v>0</v>
      </c>
    </row>
    <row r="7" spans="1:30">
      <c r="A7" t="s">
        <v>242</v>
      </c>
      <c r="B7" t="s">
        <v>235</v>
      </c>
      <c r="C7" t="s">
        <v>237</v>
      </c>
      <c r="D7" s="34">
        <v>87.235645644737289</v>
      </c>
      <c r="E7" s="34">
        <v>83.508465598058237</v>
      </c>
      <c r="F7" s="34">
        <f>IF(D7=0,"",E7/D7*100)</f>
        <v>95.727457486979802</v>
      </c>
      <c r="G7" s="34">
        <f>IF(D7=0,"",(D7-E7)/D7*100)</f>
        <v>4.2725425130201966</v>
      </c>
      <c r="H7" s="34">
        <v>-2.4819462606022427</v>
      </c>
      <c r="I7" s="34">
        <v>-5.0985452995176956</v>
      </c>
      <c r="J7" s="34">
        <v>-3.6010485799172045</v>
      </c>
      <c r="K7" s="34">
        <v>97.956600002362393</v>
      </c>
      <c r="L7" s="34">
        <v>141.05410000047414</v>
      </c>
      <c r="M7" s="34">
        <f>IF(K7=0,"",(K7-L7)/K7*100)</f>
        <v>-43.996524988691291</v>
      </c>
      <c r="N7" s="34">
        <v>686.55103999999994</v>
      </c>
      <c r="O7" s="34">
        <v>690.62656000000004</v>
      </c>
      <c r="P7" s="34">
        <f>IF(N7=0,"",(N7-O7)/N7*100)</f>
        <v>-0.59362228917461068</v>
      </c>
      <c r="Q7" s="34">
        <v>3.0114329999999998</v>
      </c>
      <c r="R7" s="34">
        <v>3.0114329999999998</v>
      </c>
      <c r="S7" s="34">
        <v>8.1938431999999999</v>
      </c>
      <c r="T7" s="34">
        <v>8.1938431999999999</v>
      </c>
      <c r="U7" s="34">
        <v>12.256346000000001</v>
      </c>
      <c r="V7" s="34">
        <v>3.4496669999999998</v>
      </c>
      <c r="W7" s="34">
        <f>IF(U7=0,"",(U7-V7)/U7*100)</f>
        <v>71.854033820520414</v>
      </c>
      <c r="X7" s="34">
        <v>102.04231499737944</v>
      </c>
      <c r="Y7" s="34">
        <v>145.29136000273866</v>
      </c>
      <c r="Z7" t="s">
        <v>97</v>
      </c>
      <c r="AA7" t="s">
        <v>243</v>
      </c>
      <c r="AB7" t="s">
        <v>232</v>
      </c>
      <c r="AC7">
        <f>R7-Q7</f>
        <v>0</v>
      </c>
      <c r="AD7">
        <f>IF(OR(S7="",T7=""),"",T7-S7)</f>
        <v>0</v>
      </c>
    </row>
    <row r="8" spans="1:30">
      <c r="A8" t="s">
        <v>244</v>
      </c>
      <c r="B8" t="s">
        <v>238</v>
      </c>
      <c r="C8" t="s">
        <v>241</v>
      </c>
      <c r="D8" s="34">
        <v>91.102426387757177</v>
      </c>
      <c r="E8" s="34">
        <v>88.247224658683947</v>
      </c>
      <c r="F8" s="34">
        <f>IF(D8=0,"",E8/D8*100)</f>
        <v>96.865943265966706</v>
      </c>
      <c r="G8" s="34">
        <f>IF(D8=0,"",(D8-E8)/D8*100)</f>
        <v>3.1340567340332948</v>
      </c>
      <c r="H8" s="34">
        <v>-2.500844554719265</v>
      </c>
      <c r="I8" s="34">
        <v>-2.4482841534397721</v>
      </c>
      <c r="J8" s="34">
        <v>-3.6164764790605943</v>
      </c>
      <c r="K8" s="34">
        <v>305.69385000126204</v>
      </c>
      <c r="L8" s="34">
        <v>404.62920000572922</v>
      </c>
      <c r="M8" s="34">
        <f>IF(K8=0,"",(K8-L8)/K8*100)</f>
        <v>-32.364193785402854</v>
      </c>
      <c r="N8" s="34">
        <v>773.26336000000003</v>
      </c>
      <c r="O8" s="34">
        <v>763.60089600000003</v>
      </c>
      <c r="P8" s="34">
        <f>IF(N8=0,"",(N8-O8)/N8*100)</f>
        <v>1.2495696162301029</v>
      </c>
      <c r="Q8" s="34">
        <v>11.136761</v>
      </c>
      <c r="R8" s="34">
        <v>11.136761</v>
      </c>
      <c r="S8" s="34">
        <v>28.646348799999998</v>
      </c>
      <c r="T8" s="34">
        <v>28.646348799999998</v>
      </c>
      <c r="U8" s="34">
        <v>44.738553000000003</v>
      </c>
      <c r="V8" s="34">
        <v>11.64753</v>
      </c>
      <c r="W8" s="34">
        <f>IF(U8=0,"",(U8-V8)/U8*100)</f>
        <v>73.965340363153913</v>
      </c>
      <c r="X8" s="34">
        <v>310.18840500400984</v>
      </c>
      <c r="Y8" s="34">
        <v>409.93722999555757</v>
      </c>
      <c r="Z8" t="s">
        <v>97</v>
      </c>
      <c r="AA8" t="s">
        <v>245</v>
      </c>
      <c r="AB8" t="s">
        <v>232</v>
      </c>
      <c r="AC8">
        <f>R8-Q8</f>
        <v>0</v>
      </c>
      <c r="AD8">
        <f>IF(OR(S8="",T8=""),"",T8-S8)</f>
        <v>0</v>
      </c>
    </row>
    <row r="9" spans="1:30"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30"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30"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30"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30"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spans="1:30"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spans="1:30"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spans="1:30"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spans="4:25"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spans="4:25"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4:25"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4:25"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spans="4:25"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spans="4:25"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4:25"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spans="4:25"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spans="4:25"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4:25"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spans="4:25"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spans="4:25"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spans="4:25"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spans="4:25"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spans="4:25"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spans="4:25"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4:25"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</row>
    <row r="34" spans="4:25"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</row>
    <row r="35" spans="4:25"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</row>
    <row r="36" spans="4:25"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</row>
    <row r="37" spans="4:25"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spans="4:25"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</row>
    <row r="39" spans="4:25"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spans="4:25"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4:25"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4:25"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spans="4:25"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4:25"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 spans="4:25"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 spans="4:25"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spans="4:25"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 spans="4:25"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 spans="4:25"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spans="4:25"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 spans="4:25"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spans="4:25"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spans="4:25"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4:25"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spans="4:25"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spans="4:25"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spans="4:25"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 spans="4:25"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 spans="4:25"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 spans="4:25"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 spans="4:25"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4:25"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spans="4:25"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spans="4:25"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spans="4:25"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 spans="4:25"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4:25"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4:25"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 spans="4:25"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spans="4:25"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4:25"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4:25"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 spans="4:25"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 spans="4:25"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spans="4:25"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4:25"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spans="4:25"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 spans="4:25"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 spans="4:25"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4:25"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spans="4:25"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 spans="4:25"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 spans="4:25"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 spans="4:25"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spans="4:25"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spans="4:25"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spans="4:25"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4:25"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spans="4:25"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spans="4:25"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spans="4:25"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spans="4:25"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spans="4:25"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spans="4:25"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spans="4:25"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spans="4:25"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spans="4:25"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spans="4:25"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spans="4:25"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4:25"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spans="4:25"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spans="4:25"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spans="4:25"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 spans="4:25"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spans="4:25"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spans="4:25"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spans="4:25"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spans="4:25"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4:25"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spans="4:25"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spans="4:25"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spans="4:25"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 spans="4:25"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 spans="4:25"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 spans="4:25"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 spans="4:25"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 spans="4:25"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 spans="4:25"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 spans="4:25"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4:25"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 spans="4:25"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 spans="4:25"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 spans="4:25"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 spans="4:25"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 spans="4:25"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 spans="4:25"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 spans="4:25"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 spans="4:25"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 spans="4:25"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4:25"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 spans="4:25"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 spans="4:25"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spans="4:25"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 spans="4:25"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 spans="4:25"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 spans="4:25"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 spans="4:25"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 spans="4:25"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 spans="4:25"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 spans="4:25"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 spans="4:25"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spans="4:25"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 spans="4:25"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 spans="4:25"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 spans="4:25"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 spans="4:25"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 spans="4:25"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 spans="4:25"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 spans="4:25"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 spans="4:25"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 spans="4:25"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4:25"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 spans="4:25"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 spans="4:25"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 spans="4:25"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 spans="4:25"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 spans="4:25"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spans="4:25"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 spans="4:25"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 spans="4:25"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 spans="4:25"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 spans="4:25"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 spans="4:25"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 spans="4:25"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 spans="4:25"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 spans="4:25"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4:25"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 spans="4:25"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 spans="4:25"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 spans="4:25"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spans="4:25"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 spans="4:25"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 spans="4:25"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 spans="4:25"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 spans="4:25"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4:25"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 spans="4:25"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 spans="4:25"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 spans="4:25"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 spans="4:25"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 spans="4:25"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 spans="4:25"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 spans="4:25"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 spans="4:25"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 spans="4:25"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 spans="4:25"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 spans="4:25"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spans="4:25"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 spans="4:25"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 spans="4:25"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 spans="4:25"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 spans="4:25"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 spans="4:25"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 spans="4:25"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 spans="4:25"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 spans="4:25"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spans="4:25"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 spans="4:25"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 spans="4:25"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 spans="4:25"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 spans="4:25"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 spans="4:25"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 spans="4:25"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 spans="4:25"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</sheetData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사용법</vt:lpstr>
      <vt:lpstr>측정조건</vt:lpstr>
      <vt:lpstr>실험로그</vt:lpstr>
      <vt:lpstr>보고서요약</vt:lpstr>
      <vt:lpstr>양자화비교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양승환</cp:lastModifiedBy>
  <dcterms:modified xsi:type="dcterms:W3CDTF">2026-09-29T09:46:40Z</dcterms:modified>
</cp:coreProperties>
</file>